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4" autoFilterDateGrouping="1"/>
  </bookViews>
  <sheets>
    <sheet xmlns:r="http://schemas.openxmlformats.org/officeDocument/2006/relationships" name="종합요약" sheetId="1" state="visible" r:id="rId1"/>
    <sheet xmlns:r="http://schemas.openxmlformats.org/officeDocument/2006/relationships" name="담보별 상세비교" sheetId="2" state="visible" r:id="rId2"/>
    <sheet xmlns:r="http://schemas.openxmlformats.org/officeDocument/2006/relationships" name="항암 보장 강화" sheetId="3" state="visible" r:id="rId3"/>
    <sheet xmlns:r="http://schemas.openxmlformats.org/officeDocument/2006/relationships" name="동시지급 시나리오" sheetId="4" state="visible" r:id="rId4"/>
    <sheet xmlns:r="http://schemas.openxmlformats.org/officeDocument/2006/relationships" name="연간 반복 누적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4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6"/>
    </font>
    <font>
      <name val="맑은 고딕"/>
      <charset val="129"/>
      <family val="3"/>
      <b val="1"/>
      <color rgb="FFFFFFFF"/>
      <sz val="16"/>
    </font>
    <font>
      <name val="Noto Sans CJK SC"/>
      <family val="2"/>
      <color rgb="FFFFFFFF"/>
      <sz val="9"/>
    </font>
    <font>
      <name val="맑은 고딕"/>
      <charset val="129"/>
      <family val="3"/>
      <color rgb="FFFFFFFF"/>
      <sz val="9"/>
    </font>
    <font>
      <name val="Noto Sans CJK SC"/>
      <family val="2"/>
      <b val="1"/>
      <color rgb="FF000000"/>
      <sz val="11"/>
    </font>
    <font>
      <name val="맑은 고딕"/>
      <charset val="129"/>
      <family val="3"/>
      <b val="1"/>
      <color rgb="FF000000"/>
      <sz val="11"/>
    </font>
    <font>
      <name val="Noto Sans CJK SC"/>
      <family val="2"/>
      <b val="1"/>
      <color rgb="FF000000"/>
      <sz val="10"/>
    </font>
    <font>
      <name val="맑은 고딕"/>
      <charset val="129"/>
      <family val="3"/>
      <color rgb="FF000000"/>
      <sz val="10"/>
    </font>
    <font>
      <name val="Noto Sans CJK SC"/>
      <family val="2"/>
      <color rgb="FF000000"/>
      <sz val="10"/>
    </font>
    <font>
      <name val="맑은 고딕"/>
      <charset val="129"/>
      <family val="3"/>
      <b val="1"/>
      <color rgb="FF000000"/>
      <sz val="10"/>
    </font>
    <font>
      <name val="Noto Sans CJK SC"/>
      <family val="2"/>
      <b val="1"/>
      <color rgb="FFFFFFFF"/>
      <sz val="12"/>
    </font>
    <font>
      <name val="맑은 고딕"/>
      <charset val="129"/>
      <family val="3"/>
      <b val="1"/>
      <color rgb="FFFFFFFF"/>
      <sz val="12"/>
    </font>
    <font>
      <name val="Noto Sans CJK SC"/>
      <family val="2"/>
      <b val="1"/>
      <color rgb="FFFFFFFF"/>
      <sz val="14"/>
    </font>
    <font>
      <name val="맑은 고딕"/>
      <charset val="129"/>
      <family val="3"/>
      <b val="1"/>
      <color rgb="FFFFFFFF"/>
      <sz val="14"/>
    </font>
    <font>
      <name val="Noto Sans CJK SC"/>
      <family val="2"/>
      <b val="1"/>
      <color rgb="FFBF8F00"/>
      <sz val="9"/>
    </font>
    <font>
      <name val="맑은 고딕"/>
      <charset val="129"/>
      <family val="3"/>
      <b val="1"/>
      <color rgb="FFBF8F00"/>
      <sz val="9"/>
    </font>
    <font>
      <name val="Noto Sans CJK SC"/>
      <family val="2"/>
      <b val="1"/>
      <color rgb="FFFFFFFF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9"/>
    </font>
    <font>
      <name val="Noto Sans CJK SC"/>
      <family val="2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family val="2"/>
      <b val="1"/>
      <color rgb="FF000000"/>
      <sz val="9"/>
    </font>
    <font>
      <name val="Noto Sans CJK SC"/>
      <family val="2"/>
      <color rgb="FF7F7F7F"/>
      <sz val="9"/>
    </font>
    <font>
      <name val="맑은 고딕"/>
      <charset val="129"/>
      <family val="3"/>
      <color rgb="FF7F7F7F"/>
      <sz val="9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0"/>
    </font>
    <font>
      <name val="Noto Sans CJK SC"/>
      <family val="2"/>
      <color rgb="FF000000"/>
      <sz val="9.5"/>
    </font>
    <font>
      <name val="맑은 고딕"/>
      <charset val="129"/>
      <family val="3"/>
      <color rgb="FF000000"/>
      <sz val="9.5"/>
    </font>
    <font>
      <name val="Noto Sans CJK SC"/>
      <family val="2"/>
      <b val="1"/>
      <color rgb="FF000000"/>
      <sz val="9.5"/>
    </font>
    <font>
      <name val="맑은 고딕"/>
      <charset val="129"/>
      <family val="3"/>
      <b val="1"/>
      <color rgb="FF000000"/>
      <sz val="9.5"/>
    </font>
    <font>
      <name val="Noto Sans CJK SC"/>
      <family val="2"/>
      <b val="1"/>
      <color rgb="FFBF8F00"/>
      <sz val="9.5"/>
    </font>
    <font>
      <name val="맑은 고딕"/>
      <charset val="129"/>
      <family val="3"/>
      <b val="1"/>
      <color rgb="FFBF8F00"/>
      <sz val="9.5"/>
    </font>
    <font>
      <name val="Noto Sans CJK SC"/>
      <family val="2"/>
      <b val="1"/>
      <color rgb="FF7F7F7F"/>
      <sz val="10"/>
    </font>
    <font>
      <name val="맑은 고딕"/>
      <charset val="129"/>
      <family val="3"/>
      <b val="1"/>
      <color rgb="FF7F7F7F"/>
      <sz val="10"/>
    </font>
    <font>
      <name val="Noto Sans CJK SC"/>
      <family val="2"/>
      <b val="1"/>
      <color rgb="FFBF8F00"/>
      <sz val="10"/>
    </font>
    <font>
      <name val="맑은 고딕"/>
      <charset val="129"/>
      <family val="3"/>
      <b val="1"/>
      <color rgb="FFBF8F00"/>
      <sz val="10"/>
    </font>
    <font>
      <name val="맑은 고딕"/>
      <charset val="129"/>
      <family val="3"/>
      <b val="1"/>
      <color rgb="FFBF8F00"/>
      <sz val="11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color rgb="FF000000"/>
      <sz val="10.5"/>
    </font>
    <font>
      <name val="Noto Sans CJK SC"/>
      <family val="2"/>
      <color rgb="FF000000"/>
      <sz val="10.5"/>
    </font>
    <font>
      <name val="맑은 고딕"/>
      <charset val="129"/>
      <family val="3"/>
      <b val="1"/>
      <color rgb="FF000000"/>
      <sz val="10.5"/>
    </font>
    <font>
      <name val="돋움"/>
      <charset val="129"/>
      <family val="3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  <fill>
      <patternFill patternType="solid">
        <fgColor rgb="FFD6DCE4"/>
        <bgColor rgb="FFDDEBF7"/>
      </patternFill>
    </fill>
    <fill>
      <patternFill patternType="solid">
        <fgColor rgb="FFFBE5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BE5D6"/>
      </patternFill>
    </fill>
    <fill>
      <patternFill patternType="solid">
        <fgColor rgb="FFFCE4B5"/>
        <bgColor rgb="FFFBE5D6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36" fillId="10" borderId="2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3" fontId="19" fillId="0" borderId="1" applyAlignment="1" pivotButton="0" quotePrefix="0" xfId="0">
      <alignment horizontal="right" vertical="center" wrapText="1"/>
    </xf>
    <xf numFmtId="0" fontId="19" fillId="0" borderId="1" applyAlignment="1" pivotButton="0" quotePrefix="0" xfId="0">
      <alignment horizontal="right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right" vertical="center" wrapText="1"/>
    </xf>
    <xf numFmtId="0" fontId="22" fillId="9" borderId="1" applyAlignment="1" pivotButton="0" quotePrefix="0" xfId="0">
      <alignment horizontal="left" vertical="center" wrapText="1"/>
    </xf>
    <xf numFmtId="3" fontId="21" fillId="9" borderId="1" applyAlignment="1" pivotButton="0" quotePrefix="0" xfId="0">
      <alignment horizontal="right" vertical="center" wrapText="1"/>
    </xf>
    <xf numFmtId="0" fontId="21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3" fontId="6" fillId="6" borderId="1" applyAlignment="1" pivotButton="0" quotePrefix="0" xfId="0">
      <alignment horizontal="right" vertical="center" wrapText="1"/>
    </xf>
    <xf numFmtId="3" fontId="6" fillId="7" borderId="1" applyAlignment="1" pivotButton="0" quotePrefix="0" xfId="0">
      <alignment horizontal="right" vertical="center" wrapText="1"/>
    </xf>
    <xf numFmtId="0" fontId="28" fillId="0" borderId="1" applyAlignment="1" pivotButton="0" quotePrefix="0" xfId="0">
      <alignment horizontal="left" vertical="center" wrapText="1"/>
    </xf>
    <xf numFmtId="3" fontId="29" fillId="0" borderId="1" applyAlignment="1" pivotButton="0" quotePrefix="0" xfId="0">
      <alignment horizontal="right" vertical="center" wrapText="1"/>
    </xf>
    <xf numFmtId="0" fontId="29" fillId="0" borderId="1" applyAlignment="1" pivotButton="0" quotePrefix="0" xfId="0">
      <alignment horizontal="right" vertical="center" wrapText="1"/>
    </xf>
    <xf numFmtId="0" fontId="28" fillId="0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right" vertical="center" wrapText="1"/>
    </xf>
    <xf numFmtId="3" fontId="31" fillId="9" borderId="1" applyAlignment="1" pivotButton="0" quotePrefix="0" xfId="0">
      <alignment horizontal="right" vertical="center" wrapText="1"/>
    </xf>
    <xf numFmtId="0" fontId="30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right" vertical="center" wrapText="1"/>
    </xf>
    <xf numFmtId="3" fontId="38" fillId="9" borderId="1" applyAlignment="1" pivotButton="0" quotePrefix="0" xfId="0">
      <alignment horizontal="right" vertical="center" wrapText="1"/>
    </xf>
    <xf numFmtId="3" fontId="39" fillId="2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 wrapText="1"/>
    </xf>
    <xf numFmtId="3" fontId="42" fillId="9" borderId="1" applyAlignment="1" pivotButton="0" quotePrefix="0" xfId="0">
      <alignment horizontal="right" vertical="center" wrapText="1"/>
    </xf>
    <xf numFmtId="3" fontId="42" fillId="7" borderId="1" applyAlignment="1" pivotButton="0" quotePrefix="0" xfId="0">
      <alignment horizontal="right" vertical="center" wrapText="1"/>
    </xf>
    <xf numFmtId="3" fontId="40" fillId="0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2" fillId="10" borderId="2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BE5D6"/>
      <rgbColor rgb="FF99CCFF"/>
      <rgbColor rgb="FFFF99CC"/>
      <rgbColor rgb="FFCC99FF"/>
      <rgbColor rgb="FFFCE4B5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D90" authorId="0" shapeId="0">
      <text>
        <t>출처: KB손해보험 가입설계서 월납보험료 합계 (담보별 보험료 미제공)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2" customWidth="1" min="2" max="2"/>
    <col width="30" customWidth="1" min="3" max="5"/>
  </cols>
  <sheetData>
    <row r="1"/>
    <row r="2" ht="30" customHeight="1">
      <c r="B2" s="14" t="inlineStr">
        <is>
          <t>김OO님 보험 비교분석 (기존 · 신규 · 합산)</t>
        </is>
      </c>
    </row>
    <row r="3" ht="15" customHeight="1">
      <c r="B3" s="13" t="inlineStr">
        <is>
          <t>피보험자: 김OO  /  작성기준: 2026-06  /  ※ 항암 강화 · 동시 지급 · 매년 반복 분석 포함 (시각자료와 함께 사용)</t>
        </is>
      </c>
    </row>
    <row r="4"/>
    <row r="5" ht="21.75" customHeight="1">
      <c r="B5" s="15" t="inlineStr">
        <is>
          <t>구분</t>
        </is>
      </c>
      <c r="C5" s="16" t="inlineStr">
        <is>
          <t>기존 보험</t>
        </is>
      </c>
      <c r="D5" s="17" t="inlineStr">
        <is>
          <t>신규 보험(제안)</t>
        </is>
      </c>
      <c r="E5" s="18" t="inlineStr">
        <is>
          <t>합산</t>
        </is>
      </c>
    </row>
    <row r="6" ht="21.75" customHeight="1">
      <c r="B6" s="19" t="inlineStr">
        <is>
          <t>보험사</t>
        </is>
      </c>
      <c r="C6" s="20" t="inlineStr">
        <is>
          <t>KB손해보험</t>
        </is>
      </c>
      <c r="D6" s="20" t="inlineStr">
        <is>
          <t>DB손해보험</t>
        </is>
      </c>
      <c r="E6" s="20" t="inlineStr">
        <is>
          <t>2개사</t>
        </is>
      </c>
    </row>
    <row r="7" ht="39" customHeight="1">
      <c r="B7" s="19" t="inlineStr">
        <is>
          <t>상품명</t>
        </is>
      </c>
      <c r="C7" s="20" t="inlineStr">
        <is>
          <t>(무)KB 금쪽같은 자녀보험(22.02)</t>
        </is>
      </c>
      <c r="D7" s="21" t="inlineStr">
        <is>
          <t>무배당 프로미라이프
나에게 맞춘 더좋은 초경증 간편건강보험2605</t>
        </is>
      </c>
      <c r="E7" s="20" t="inlineStr">
        <is>
          <t>—</t>
        </is>
      </c>
    </row>
    <row r="8" ht="21.75" customHeight="1">
      <c r="B8" s="19" t="inlineStr">
        <is>
          <t>계약일/보험기간</t>
        </is>
      </c>
      <c r="C8" s="20" t="inlineStr">
        <is>
          <t>2022-03-16 ~ 2085-03-16</t>
        </is>
      </c>
      <c r="D8" s="20" t="inlineStr">
        <is>
          <t>2026-06-12 ~ 2084-06-12</t>
        </is>
      </c>
      <c r="E8" s="20" t="inlineStr">
        <is>
          <t>—</t>
        </is>
      </c>
    </row>
    <row r="9" ht="21.75" customHeight="1">
      <c r="B9" s="19" t="inlineStr">
        <is>
          <t>만기 / 납기</t>
        </is>
      </c>
      <c r="C9" s="20" t="inlineStr">
        <is>
          <t>90세만기 / 20년납</t>
        </is>
      </c>
      <c r="D9" s="20" t="inlineStr">
        <is>
          <t>90세만기 / 20년납</t>
        </is>
      </c>
      <c r="E9" s="20" t="inlineStr">
        <is>
          <t>90세만기</t>
        </is>
      </c>
    </row>
    <row r="10" ht="21.75" customHeight="1">
      <c r="B10" s="19" t="inlineStr">
        <is>
          <t>납입주기</t>
        </is>
      </c>
      <c r="C10" s="21" t="inlineStr">
        <is>
          <t>월납</t>
        </is>
      </c>
      <c r="D10" s="21" t="inlineStr">
        <is>
          <t>월납</t>
        </is>
      </c>
      <c r="E10" s="21" t="inlineStr">
        <is>
          <t>월납</t>
        </is>
      </c>
    </row>
    <row r="11" ht="21.75" customHeight="1">
      <c r="B11" s="19" t="inlineStr">
        <is>
          <t>월 보험료</t>
        </is>
      </c>
      <c r="C11" s="22" t="inlineStr">
        <is>
          <t>126,211 원</t>
        </is>
      </c>
      <c r="D11" s="22" t="inlineStr">
        <is>
          <t>47,112 원</t>
        </is>
      </c>
      <c r="E11" s="22" t="inlineStr">
        <is>
          <t>173,323 원</t>
        </is>
      </c>
    </row>
    <row r="12" ht="21.75" customHeight="1">
      <c r="B12" s="19" t="inlineStr">
        <is>
          <t>담보 수</t>
        </is>
      </c>
      <c r="C12" s="20" t="inlineStr">
        <is>
          <t>62 개</t>
        </is>
      </c>
      <c r="D12" s="20" t="inlineStr">
        <is>
          <t>19 개</t>
        </is>
      </c>
      <c r="E12" s="20" t="inlineStr">
        <is>
          <t>81 개</t>
        </is>
      </c>
    </row>
    <row r="13" ht="21.75" customHeight="1">
      <c r="B13" s="19" t="inlineStr">
        <is>
          <t>보장 성격</t>
        </is>
      </c>
      <c r="C13" s="21" t="inlineStr">
        <is>
          <t>진단·수술비 중심 (일시금)</t>
        </is>
      </c>
      <c r="D13" s="21" t="inlineStr">
        <is>
          <t>치료 단계별 정액 (매년 반복)</t>
        </is>
      </c>
      <c r="E13" s="21" t="inlineStr">
        <is>
          <t>진단+치료 전 과정</t>
        </is>
      </c>
    </row>
    <row r="14"/>
    <row r="15" ht="21.75" customHeight="1">
      <c r="B15" s="12" t="inlineStr">
        <is>
          <t>■ 핵심 포인트 (시각자료 요약)</t>
        </is>
      </c>
    </row>
    <row r="16" ht="31.5" customHeight="1">
      <c r="B16" s="11" t="inlineStr">
        <is>
          <t>• 기존은 진단·수술 '일시금' 중심, 신규는 진단 이후 치료 단계(수술·중환자실·항암방사선·항암약물)별 '정액'을 더해 빈틈을 보강합니다.</t>
        </is>
      </c>
      <c r="C16" s="73" t="n"/>
      <c r="D16" s="73" t="n"/>
      <c r="E16" s="73" t="n"/>
    </row>
    <row r="17" ht="31.5" customHeight="1">
      <c r="B17" s="10" t="inlineStr">
        <is>
          <t>• [항암 강화] 신규로 암주요치료비(항암방사선) 1,000만 + (항암약물) 1,000만(매년), 항암중입자 5,000만, 하이클래스 2,000만(10년·최대10회)이 추가됩니다.</t>
        </is>
      </c>
      <c r="C17" s="73" t="n"/>
      <c r="D17" s="73" t="n"/>
      <c r="E17" s="73" t="n"/>
    </row>
    <row r="18" ht="31.5" customHeight="1">
      <c r="B18" s="10" t="inlineStr">
        <is>
          <t>• [동시 지급] 진단비·주요치료비는 차감 없이 동시 지급. 위암 1년차 예시 시 기존 3,400만 + 신규 4,100만 = 약 7,500만이 겹쳐 지급됩니다.</t>
        </is>
      </c>
      <c r="C18" s="73" t="n"/>
      <c r="D18" s="73" t="n"/>
      <c r="E18" s="73" t="n"/>
    </row>
    <row r="19" ht="31.5" customHeight="1">
      <c r="B19" s="10" t="inlineStr">
        <is>
          <t>• [매년 반복] '연간 1회한'은 평생 1회가 아닌 보험연도마다 1회. 재발·장기치료 시 해마다 재지급되어 3년 6,000만 / 5년 1억까지 누적됩니다.</t>
        </is>
      </c>
      <c r="C19" s="73" t="n"/>
      <c r="D19" s="73" t="n"/>
      <c r="E19" s="73" t="n"/>
    </row>
    <row r="20" ht="31.5" customHeight="1">
      <c r="B20" s="11" t="inlineStr">
        <is>
          <t>• 합산 월 보험료는 173,323원이며, 신규로 추가된 담보는 '담보별 상세비교' 시트에 노란색으로 표시했습니다.</t>
        </is>
      </c>
      <c r="C20" s="73" t="n"/>
      <c r="D20" s="73" t="n"/>
      <c r="E20" s="73" t="n"/>
    </row>
  </sheetData>
  <mergeCells count="8">
    <mergeCell ref="B17:E17"/>
    <mergeCell ref="B18:E18"/>
    <mergeCell ref="B16:E16"/>
    <mergeCell ref="B15:E15"/>
    <mergeCell ref="B3:E3"/>
    <mergeCell ref="B2:E2"/>
    <mergeCell ref="B20:E20"/>
    <mergeCell ref="B19:E19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4" sqref="M14"/>
    </sheetView>
  </sheetViews>
  <sheetFormatPr baseColWidth="8" defaultColWidth="8.7109375" defaultRowHeight="15"/>
  <cols>
    <col width="2" customWidth="1" min="1" max="1"/>
    <col width="9.5703125" customWidth="1" min="2" max="2"/>
    <col width="47" customWidth="1" min="3" max="3"/>
    <col width="10" customWidth="1" min="4" max="4"/>
    <col width="52.5703125" customWidth="1" min="5" max="5"/>
    <col width="10" customWidth="1" min="6" max="7"/>
    <col width="12" customWidth="1" min="8" max="8"/>
    <col width="10" customWidth="1" min="9" max="9"/>
    <col width="16" customWidth="1" min="10" max="10"/>
  </cols>
  <sheetData>
    <row r="1"/>
    <row r="2" ht="27.75" customHeight="1">
      <c r="B2" s="9" t="inlineStr">
        <is>
          <t>담보별 상세 비교분석  (가입금액=보험금, 단위: 만원 / 보험료: 원·월)</t>
        </is>
      </c>
    </row>
    <row r="3" ht="18" customHeight="1">
      <c r="B3" s="8" t="inlineStr">
        <is>
          <t>※ 노란색 행 = 신규 가입으로 '추가'되는 담보   ·   '지급주기' 연간1회(매년) = 재발·장기치료 시 해마다 반복 지급</t>
        </is>
      </c>
    </row>
    <row r="4" ht="30" customHeight="1">
      <c r="B4" s="19" t="inlineStr">
        <is>
          <t>구분(보장영역)</t>
        </is>
      </c>
      <c r="C4" s="23" t="inlineStr">
        <is>
          <t>기존 담보명 (KB)</t>
        </is>
      </c>
      <c r="D4" s="23" t="inlineStr">
        <is>
          <t>기존
금액</t>
        </is>
      </c>
      <c r="E4" s="24" t="inlineStr">
        <is>
          <t>신규 담보명 (DB)</t>
        </is>
      </c>
      <c r="F4" s="24" t="inlineStr">
        <is>
          <t>신규
금액</t>
        </is>
      </c>
      <c r="G4" s="25" t="inlineStr">
        <is>
          <t>합산
금액</t>
        </is>
      </c>
      <c r="H4" s="24" t="inlineStr">
        <is>
          <t>신규
월보험료</t>
        </is>
      </c>
      <c r="I4" s="19" t="inlineStr">
        <is>
          <t>보장기간</t>
        </is>
      </c>
      <c r="J4" s="26" t="inlineStr">
        <is>
          <t>지급주기</t>
        </is>
      </c>
    </row>
    <row r="5" ht="21.75" customHeight="1">
      <c r="B5" s="7" t="inlineStr">
        <is>
          <t>▌ 사망 · 후유장해</t>
        </is>
      </c>
    </row>
    <row r="6" ht="15.75" customHeight="1">
      <c r="B6" s="27" t="n"/>
      <c r="C6" s="28" t="inlineStr">
        <is>
          <t>일반상해사망(기본계약)</t>
        </is>
      </c>
      <c r="D6" s="29" t="n">
        <v>5100</v>
      </c>
      <c r="E6" s="28" t="inlineStr">
        <is>
          <t>상해사망</t>
        </is>
      </c>
      <c r="F6" s="29" t="n">
        <v>100</v>
      </c>
      <c r="G6" s="30">
        <f>D6+F6</f>
        <v/>
      </c>
      <c r="H6" s="29" t="n">
        <v>106</v>
      </c>
      <c r="I6" s="31" t="inlineStr">
        <is>
          <t>90세</t>
        </is>
      </c>
      <c r="J6" s="32" t="inlineStr">
        <is>
          <t>일시금</t>
        </is>
      </c>
    </row>
    <row r="7" ht="15.75" customHeight="1">
      <c r="B7" s="27" t="n"/>
      <c r="C7" s="28" t="inlineStr">
        <is>
          <t>일반상해후유장해(20~100%)</t>
        </is>
      </c>
      <c r="D7" s="29" t="n">
        <v>100</v>
      </c>
      <c r="E7" s="27" t="inlineStr">
        <is>
          <t>—</t>
        </is>
      </c>
      <c r="F7" s="30" t="inlineStr">
        <is>
          <t>—</t>
        </is>
      </c>
      <c r="G7" s="29">
        <f>D7</f>
        <v/>
      </c>
      <c r="H7" s="30" t="inlineStr">
        <is>
          <t>—</t>
        </is>
      </c>
      <c r="I7" s="31" t="inlineStr">
        <is>
          <t>90세</t>
        </is>
      </c>
      <c r="J7" s="32" t="inlineStr">
        <is>
          <t>일시금</t>
        </is>
      </c>
    </row>
    <row r="8" ht="15.75" customHeight="1">
      <c r="B8" s="27" t="n"/>
      <c r="C8" s="28" t="inlineStr">
        <is>
          <t>일반상해후유장해(3~100%)</t>
        </is>
      </c>
      <c r="D8" s="29" t="n">
        <v>5000</v>
      </c>
      <c r="E8" s="27" t="inlineStr">
        <is>
          <t>—</t>
        </is>
      </c>
      <c r="F8" s="30" t="inlineStr">
        <is>
          <t>—</t>
        </is>
      </c>
      <c r="G8" s="29">
        <f>D8</f>
        <v/>
      </c>
      <c r="H8" s="30" t="inlineStr">
        <is>
          <t>—</t>
        </is>
      </c>
      <c r="I8" s="31" t="inlineStr">
        <is>
          <t>90세</t>
        </is>
      </c>
      <c r="J8" s="32" t="inlineStr">
        <is>
          <t>일시금</t>
        </is>
      </c>
    </row>
    <row r="9" ht="21.75" customHeight="1">
      <c r="B9" s="7" t="inlineStr">
        <is>
          <t>▌ 암 진단비</t>
        </is>
      </c>
    </row>
    <row r="10" ht="15.75" customHeight="1">
      <c r="B10" s="27" t="n"/>
      <c r="C10" s="28" t="inlineStr">
        <is>
          <t>암진단비(유사암제외)(감액없음)</t>
        </is>
      </c>
      <c r="D10" s="29" t="n">
        <v>2000</v>
      </c>
      <c r="E10" s="28" t="inlineStr">
        <is>
          <t>암진단비Ⅱ(유사암제외)</t>
        </is>
      </c>
      <c r="F10" s="29" t="n">
        <v>100</v>
      </c>
      <c r="G10" s="30">
        <f>D10+F10</f>
        <v/>
      </c>
      <c r="H10" s="29" t="n">
        <v>1276</v>
      </c>
      <c r="I10" s="31" t="inlineStr">
        <is>
          <t>90세</t>
        </is>
      </c>
      <c r="J10" s="32" t="inlineStr">
        <is>
          <t>최초1회</t>
        </is>
      </c>
    </row>
    <row r="11" ht="15.75" customHeight="1">
      <c r="B11" s="27" t="n"/>
      <c r="C11" s="27" t="inlineStr">
        <is>
          <t>10대고액치료비암진단비(감액없음)</t>
        </is>
      </c>
      <c r="D11" s="29" t="n">
        <v>1000</v>
      </c>
      <c r="E11" s="27" t="inlineStr">
        <is>
          <t>—</t>
        </is>
      </c>
      <c r="F11" s="30" t="inlineStr">
        <is>
          <t>—</t>
        </is>
      </c>
      <c r="G11" s="29">
        <f>D11</f>
        <v/>
      </c>
      <c r="H11" s="30" t="inlineStr">
        <is>
          <t>—</t>
        </is>
      </c>
      <c r="I11" s="31" t="inlineStr">
        <is>
          <t>90세</t>
        </is>
      </c>
      <c r="J11" s="32" t="inlineStr">
        <is>
          <t>최초1회</t>
        </is>
      </c>
    </row>
    <row r="12" ht="15.75" customHeight="1">
      <c r="B12" s="27" t="n"/>
      <c r="C12" s="28" t="inlineStr">
        <is>
          <t>유사암진단비(감액없음)</t>
        </is>
      </c>
      <c r="D12" s="29" t="n">
        <v>2000</v>
      </c>
      <c r="E12" s="28" t="inlineStr">
        <is>
          <t>유사암진단비Ⅲ</t>
        </is>
      </c>
      <c r="F12" s="29" t="n">
        <v>10</v>
      </c>
      <c r="G12" s="30">
        <f>D12+F12</f>
        <v/>
      </c>
      <c r="H12" s="29" t="n">
        <v>21</v>
      </c>
      <c r="I12" s="31" t="inlineStr">
        <is>
          <t>90세</t>
        </is>
      </c>
      <c r="J12" s="32" t="inlineStr">
        <is>
          <t>각1회</t>
        </is>
      </c>
    </row>
    <row r="13" ht="15.75" customHeight="1">
      <c r="B13" s="27" t="n"/>
      <c r="C13" s="28" t="inlineStr">
        <is>
          <t>갑상선바늘생검조직병리진단비(연간1회한)</t>
        </is>
      </c>
      <c r="D13" s="29" t="n">
        <v>50</v>
      </c>
      <c r="E13" s="27" t="inlineStr">
        <is>
          <t>—</t>
        </is>
      </c>
      <c r="F13" s="30" t="inlineStr">
        <is>
          <t>—</t>
        </is>
      </c>
      <c r="G13" s="29">
        <f>D13</f>
        <v/>
      </c>
      <c r="H13" s="30" t="inlineStr">
        <is>
          <t>—</t>
        </is>
      </c>
      <c r="I13" s="31" t="inlineStr">
        <is>
          <t>90세</t>
        </is>
      </c>
      <c r="J13" s="33" t="inlineStr">
        <is>
          <t>연간1회(매년)</t>
        </is>
      </c>
    </row>
    <row r="14" ht="21.75" customHeight="1">
      <c r="B14" s="7" t="inlineStr">
        <is>
          <t>▌ 암 주요치료비 (치료단계별 정액)</t>
        </is>
      </c>
    </row>
    <row r="15" ht="27" customHeight="1">
      <c r="B15" s="34" t="n"/>
      <c r="C15" s="34" t="inlineStr">
        <is>
          <t>—</t>
        </is>
      </c>
      <c r="D15" s="35" t="inlineStr">
        <is>
          <t>—</t>
        </is>
      </c>
      <c r="E15" s="36" t="inlineStr">
        <is>
          <t>암주요치료비Ⅱ(수술시)(유사암제외)(연간1회한)</t>
        </is>
      </c>
      <c r="F15" s="37" t="n">
        <v>1000</v>
      </c>
      <c r="G15" s="37">
        <f>F15</f>
        <v/>
      </c>
      <c r="H15" s="37" t="n">
        <v>8590</v>
      </c>
      <c r="I15" s="38" t="inlineStr">
        <is>
          <t>90세</t>
        </is>
      </c>
      <c r="J15" s="39" t="inlineStr">
        <is>
          <t>연간1회(매년)</t>
        </is>
      </c>
    </row>
    <row r="16" ht="27" customHeight="1">
      <c r="B16" s="34" t="n"/>
      <c r="C16" s="34" t="inlineStr">
        <is>
          <t>—</t>
        </is>
      </c>
      <c r="D16" s="35" t="inlineStr">
        <is>
          <t>—</t>
        </is>
      </c>
      <c r="E16" s="36" t="inlineStr">
        <is>
          <t>암주요치료비Ⅱ(중환자실입원시)(유사암제외)(연간1회한)</t>
        </is>
      </c>
      <c r="F16" s="37" t="n">
        <v>1000</v>
      </c>
      <c r="G16" s="37">
        <f>F16</f>
        <v/>
      </c>
      <c r="H16" s="37" t="n">
        <v>550</v>
      </c>
      <c r="I16" s="38" t="inlineStr">
        <is>
          <t>90세</t>
        </is>
      </c>
      <c r="J16" s="39" t="inlineStr">
        <is>
          <t>연간1회(매년)</t>
        </is>
      </c>
    </row>
    <row r="17" ht="27" customHeight="1">
      <c r="B17" s="34" t="n"/>
      <c r="C17" s="34" t="inlineStr">
        <is>
          <t>—</t>
        </is>
      </c>
      <c r="D17" s="35" t="inlineStr">
        <is>
          <t>—</t>
        </is>
      </c>
      <c r="E17" s="36" t="inlineStr">
        <is>
          <t>암주요치료비Ⅱ(항암방사선치료시)(유사암제외)(연간1회한)</t>
        </is>
      </c>
      <c r="F17" s="37" t="n">
        <v>1000</v>
      </c>
      <c r="G17" s="37">
        <f>F17</f>
        <v/>
      </c>
      <c r="H17" s="37" t="n">
        <v>2760</v>
      </c>
      <c r="I17" s="38" t="inlineStr">
        <is>
          <t>90세</t>
        </is>
      </c>
      <c r="J17" s="39" t="inlineStr">
        <is>
          <t>연간1회(매년)</t>
        </is>
      </c>
    </row>
    <row r="18" ht="27" customHeight="1">
      <c r="B18" s="34" t="n"/>
      <c r="C18" s="34" t="inlineStr">
        <is>
          <t>—</t>
        </is>
      </c>
      <c r="D18" s="35" t="inlineStr">
        <is>
          <t>—</t>
        </is>
      </c>
      <c r="E18" s="36" t="inlineStr">
        <is>
          <t>암주요치료비Ⅱ(항암약물치료시)(유사암제외)(연간1회한)</t>
        </is>
      </c>
      <c r="F18" s="37" t="n">
        <v>1000</v>
      </c>
      <c r="G18" s="37">
        <f>F18</f>
        <v/>
      </c>
      <c r="H18" s="37" t="n">
        <v>8800</v>
      </c>
      <c r="I18" s="38" t="inlineStr">
        <is>
          <t>90세</t>
        </is>
      </c>
      <c r="J18" s="39" t="inlineStr">
        <is>
          <t>연간1회(매년)</t>
        </is>
      </c>
    </row>
    <row r="19" ht="27" customHeight="1">
      <c r="B19" s="34" t="n"/>
      <c r="C19" s="34" t="inlineStr">
        <is>
          <t>—</t>
        </is>
      </c>
      <c r="D19" s="35" t="inlineStr">
        <is>
          <t>—</t>
        </is>
      </c>
      <c r="E19" s="36" t="inlineStr">
        <is>
          <t>하이클래스암주요치료비Ⅱ(연간1회한)(10년지급대상)</t>
        </is>
      </c>
      <c r="F19" s="37" t="n">
        <v>2000</v>
      </c>
      <c r="G19" s="37">
        <f>F19</f>
        <v/>
      </c>
      <c r="H19" s="37" t="n">
        <v>6520</v>
      </c>
      <c r="I19" s="38" t="inlineStr">
        <is>
          <t>90세</t>
        </is>
      </c>
      <c r="J19" s="40" t="inlineStr">
        <is>
          <t>연간1회·10년(최대10회)</t>
        </is>
      </c>
    </row>
    <row r="20" ht="27" customHeight="1">
      <c r="B20" s="34" t="n"/>
      <c r="C20" s="34" t="inlineStr">
        <is>
          <t>—</t>
        </is>
      </c>
      <c r="D20" s="35" t="inlineStr">
        <is>
          <t>—</t>
        </is>
      </c>
      <c r="E20" s="36" t="inlineStr">
        <is>
          <t>유사암주요치료비Ⅱ(수술시)(연간1회한)</t>
        </is>
      </c>
      <c r="F20" s="37" t="n">
        <v>600</v>
      </c>
      <c r="G20" s="37">
        <f>F20</f>
        <v/>
      </c>
      <c r="H20" s="37" t="n">
        <v>840</v>
      </c>
      <c r="I20" s="38" t="inlineStr">
        <is>
          <t>90세</t>
        </is>
      </c>
      <c r="J20" s="39" t="inlineStr">
        <is>
          <t>연간1회(매년)</t>
        </is>
      </c>
    </row>
    <row r="21" ht="27" customHeight="1">
      <c r="B21" s="34" t="n"/>
      <c r="C21" s="34" t="inlineStr">
        <is>
          <t>—</t>
        </is>
      </c>
      <c r="D21" s="35" t="inlineStr">
        <is>
          <t>—</t>
        </is>
      </c>
      <c r="E21" s="36" t="inlineStr">
        <is>
          <t>유사암주요치료비Ⅱ(중환자실입원시)(연간1회한)</t>
        </is>
      </c>
      <c r="F21" s="37" t="n">
        <v>400</v>
      </c>
      <c r="G21" s="37">
        <f>F21</f>
        <v/>
      </c>
      <c r="H21" s="37" t="n">
        <v>12</v>
      </c>
      <c r="I21" s="38" t="inlineStr">
        <is>
          <t>90세</t>
        </is>
      </c>
      <c r="J21" s="39" t="inlineStr">
        <is>
          <t>연간1회(매년)</t>
        </is>
      </c>
    </row>
    <row r="22" ht="27" customHeight="1">
      <c r="B22" s="34" t="n"/>
      <c r="C22" s="34" t="inlineStr">
        <is>
          <t>—</t>
        </is>
      </c>
      <c r="D22" s="35" t="inlineStr">
        <is>
          <t>—</t>
        </is>
      </c>
      <c r="E22" s="36" t="inlineStr">
        <is>
          <t>유사암주요치료비Ⅱ(항암방사선치료시)(연간1회한)</t>
        </is>
      </c>
      <c r="F22" s="37" t="n">
        <v>600</v>
      </c>
      <c r="G22" s="37">
        <f>F22</f>
        <v/>
      </c>
      <c r="H22" s="37" t="n">
        <v>60</v>
      </c>
      <c r="I22" s="38" t="inlineStr">
        <is>
          <t>90세</t>
        </is>
      </c>
      <c r="J22" s="39" t="inlineStr">
        <is>
          <t>연간1회(매년)</t>
        </is>
      </c>
    </row>
    <row r="23" ht="27" customHeight="1">
      <c r="B23" s="34" t="n"/>
      <c r="C23" s="34" t="inlineStr">
        <is>
          <t>—</t>
        </is>
      </c>
      <c r="D23" s="35" t="inlineStr">
        <is>
          <t>—</t>
        </is>
      </c>
      <c r="E23" s="36" t="inlineStr">
        <is>
          <t>유사암주요치료비Ⅱ(항암약물치료시)(연간1회한)</t>
        </is>
      </c>
      <c r="F23" s="37" t="n">
        <v>600</v>
      </c>
      <c r="G23" s="37">
        <f>F23</f>
        <v/>
      </c>
      <c r="H23" s="37" t="n">
        <v>222</v>
      </c>
      <c r="I23" s="38" t="inlineStr">
        <is>
          <t>90세</t>
        </is>
      </c>
      <c r="J23" s="39" t="inlineStr">
        <is>
          <t>연간1회(매년)</t>
        </is>
      </c>
    </row>
    <row r="24" ht="21.75" customHeight="1">
      <c r="B24" s="7" t="inlineStr">
        <is>
          <t>▌ 항암 치료비</t>
        </is>
      </c>
    </row>
    <row r="25" ht="15.75" customHeight="1">
      <c r="B25" s="27" t="n"/>
      <c r="C25" s="28" t="inlineStr">
        <is>
          <t>항암방사선치료비(감액없음)</t>
        </is>
      </c>
      <c r="D25" s="29" t="n">
        <v>200</v>
      </c>
      <c r="E25" s="28" t="inlineStr">
        <is>
          <t>항암방사선약물치료비Ⅱ(유사암포함)</t>
        </is>
      </c>
      <c r="F25" s="29" t="n">
        <v>100</v>
      </c>
      <c r="G25" s="30">
        <f>D25+F25</f>
        <v/>
      </c>
      <c r="H25" s="29" t="n">
        <v>604</v>
      </c>
      <c r="I25" s="31" t="inlineStr">
        <is>
          <t>90세</t>
        </is>
      </c>
      <c r="J25" s="32" t="inlineStr">
        <is>
          <t>최초1회</t>
        </is>
      </c>
    </row>
    <row r="26" ht="15.75" customHeight="1">
      <c r="B26" s="27" t="n"/>
      <c r="C26" s="28" t="inlineStr">
        <is>
          <t>항암약물치료비(감액없음)</t>
        </is>
      </c>
      <c r="D26" s="29" t="n">
        <v>200</v>
      </c>
      <c r="E26" s="27" t="inlineStr">
        <is>
          <t>—</t>
        </is>
      </c>
      <c r="F26" s="30" t="inlineStr">
        <is>
          <t>—</t>
        </is>
      </c>
      <c r="G26" s="29">
        <f>D26</f>
        <v/>
      </c>
      <c r="H26" s="30" t="inlineStr">
        <is>
          <t>—</t>
        </is>
      </c>
      <c r="I26" s="31" t="inlineStr">
        <is>
          <t>90세</t>
        </is>
      </c>
      <c r="J26" s="32" t="inlineStr">
        <is>
          <t>약관참조</t>
        </is>
      </c>
    </row>
    <row r="27" ht="15.75" customHeight="1">
      <c r="B27" s="34" t="n"/>
      <c r="C27" s="34" t="inlineStr">
        <is>
          <t>—</t>
        </is>
      </c>
      <c r="D27" s="35" t="inlineStr">
        <is>
          <t>—</t>
        </is>
      </c>
      <c r="E27" s="36" t="inlineStr">
        <is>
          <t>항암중입자방사선치료비(최초1회한)</t>
        </is>
      </c>
      <c r="F27" s="37" t="n">
        <v>5000</v>
      </c>
      <c r="G27" s="37">
        <f>F27</f>
        <v/>
      </c>
      <c r="H27" s="37" t="n">
        <v>2950</v>
      </c>
      <c r="I27" s="38" t="inlineStr">
        <is>
          <t>90세</t>
        </is>
      </c>
      <c r="J27" s="40" t="inlineStr">
        <is>
          <t>최초1회</t>
        </is>
      </c>
    </row>
    <row r="28" ht="15.75" customHeight="1">
      <c r="B28" s="27" t="n"/>
      <c r="C28" s="28" t="inlineStr">
        <is>
          <t>표적항암방사선치료비(세기조절)(최초1회한)(10년갱신)</t>
        </is>
      </c>
      <c r="D28" s="29" t="n">
        <v>2000</v>
      </c>
      <c r="E28" s="27" t="inlineStr">
        <is>
          <t>—</t>
        </is>
      </c>
      <c r="F28" s="30" t="inlineStr">
        <is>
          <t>—</t>
        </is>
      </c>
      <c r="G28" s="29">
        <f>D28</f>
        <v/>
      </c>
      <c r="H28" s="30" t="inlineStr">
        <is>
          <t>—</t>
        </is>
      </c>
      <c r="I28" s="31" t="inlineStr">
        <is>
          <t>90세</t>
        </is>
      </c>
      <c r="J28" s="32" t="inlineStr">
        <is>
          <t>최초1회</t>
        </is>
      </c>
    </row>
    <row r="29" ht="15.75" customHeight="1">
      <c r="B29" s="27" t="n"/>
      <c r="C29" s="28" t="inlineStr">
        <is>
          <t>표적항암방사선치료비(양성자)(최초1회한)(10년갱신)</t>
        </is>
      </c>
      <c r="D29" s="29" t="n">
        <v>3000</v>
      </c>
      <c r="E29" s="27" t="inlineStr">
        <is>
          <t>—</t>
        </is>
      </c>
      <c r="F29" s="30" t="inlineStr">
        <is>
          <t>—</t>
        </is>
      </c>
      <c r="G29" s="29">
        <f>D29</f>
        <v/>
      </c>
      <c r="H29" s="30" t="inlineStr">
        <is>
          <t>—</t>
        </is>
      </c>
      <c r="I29" s="31" t="inlineStr">
        <is>
          <t>90세</t>
        </is>
      </c>
      <c r="J29" s="32" t="inlineStr">
        <is>
          <t>최초1회</t>
        </is>
      </c>
    </row>
    <row r="30" ht="15.75" customHeight="1">
      <c r="B30" s="27" t="n"/>
      <c r="C30" s="28" t="inlineStr">
        <is>
          <t>표적항암약물허가치료비(최초1회한)(10년갱신)</t>
        </is>
      </c>
      <c r="D30" s="29" t="n">
        <v>5000</v>
      </c>
      <c r="E30" s="27" t="inlineStr">
        <is>
          <t>—</t>
        </is>
      </c>
      <c r="F30" s="30" t="inlineStr">
        <is>
          <t>—</t>
        </is>
      </c>
      <c r="G30" s="29">
        <f>D30</f>
        <v/>
      </c>
      <c r="H30" s="30" t="inlineStr">
        <is>
          <t>—</t>
        </is>
      </c>
      <c r="I30" s="31" t="inlineStr">
        <is>
          <t>90세</t>
        </is>
      </c>
      <c r="J30" s="32" t="inlineStr">
        <is>
          <t>최초1회</t>
        </is>
      </c>
    </row>
    <row r="31" ht="15.75" customHeight="1">
      <c r="B31" s="27" t="n"/>
      <c r="C31" s="28" t="inlineStr">
        <is>
          <t>갑상선암호르몬약물허가치료비(최초1회한)(10년갱신)</t>
        </is>
      </c>
      <c r="D31" s="29" t="n">
        <v>50</v>
      </c>
      <c r="E31" s="27" t="inlineStr">
        <is>
          <t>—</t>
        </is>
      </c>
      <c r="F31" s="30" t="inlineStr">
        <is>
          <t>—</t>
        </is>
      </c>
      <c r="G31" s="29">
        <f>D31</f>
        <v/>
      </c>
      <c r="H31" s="30" t="inlineStr">
        <is>
          <t>—</t>
        </is>
      </c>
      <c r="I31" s="31" t="inlineStr">
        <is>
          <t>90세</t>
        </is>
      </c>
      <c r="J31" s="32" t="inlineStr">
        <is>
          <t>최초1회</t>
        </is>
      </c>
    </row>
    <row r="32" ht="15.75" customHeight="1">
      <c r="B32" s="27" t="n"/>
      <c r="C32" s="28" t="inlineStr">
        <is>
          <t>특정항암호르몬약물허가치료비(최초1회한)(10년갱신)</t>
        </is>
      </c>
      <c r="D32" s="29" t="n">
        <v>50</v>
      </c>
      <c r="E32" s="27" t="inlineStr">
        <is>
          <t>—</t>
        </is>
      </c>
      <c r="F32" s="30" t="inlineStr">
        <is>
          <t>—</t>
        </is>
      </c>
      <c r="G32" s="29">
        <f>D32</f>
        <v/>
      </c>
      <c r="H32" s="30" t="inlineStr">
        <is>
          <t>—</t>
        </is>
      </c>
      <c r="I32" s="31" t="inlineStr">
        <is>
          <t>90세</t>
        </is>
      </c>
      <c r="J32" s="32" t="inlineStr">
        <is>
          <t>최초1회</t>
        </is>
      </c>
    </row>
    <row r="33" ht="21.75" customHeight="1">
      <c r="B33" s="7" t="inlineStr">
        <is>
          <t>▌ 뇌 · 심장 진단비</t>
        </is>
      </c>
    </row>
    <row r="34" ht="15.75" customHeight="1">
      <c r="B34" s="27" t="n"/>
      <c r="C34" s="28" t="inlineStr">
        <is>
          <t>뇌혈관질환진단비(감액없음)</t>
        </is>
      </c>
      <c r="D34" s="29" t="n">
        <v>2000</v>
      </c>
      <c r="E34" s="27" t="inlineStr">
        <is>
          <t>—</t>
        </is>
      </c>
      <c r="F34" s="30" t="inlineStr">
        <is>
          <t>—</t>
        </is>
      </c>
      <c r="G34" s="29">
        <f>D34</f>
        <v/>
      </c>
      <c r="H34" s="30" t="inlineStr">
        <is>
          <t>—</t>
        </is>
      </c>
      <c r="I34" s="31" t="inlineStr">
        <is>
          <t>90세</t>
        </is>
      </c>
      <c r="J34" s="32" t="inlineStr">
        <is>
          <t>최초1회</t>
        </is>
      </c>
    </row>
    <row r="35" ht="15.75" customHeight="1">
      <c r="B35" s="27" t="n"/>
      <c r="C35" s="28" t="inlineStr">
        <is>
          <t>심장질환(특정Ⅱ)진단비 → 급성심근경색</t>
        </is>
      </c>
      <c r="D35" s="29" t="n">
        <v>100</v>
      </c>
      <c r="E35" s="27" t="inlineStr">
        <is>
          <t>—</t>
        </is>
      </c>
      <c r="F35" s="30" t="inlineStr">
        <is>
          <t>—</t>
        </is>
      </c>
      <c r="G35" s="29">
        <f>D35</f>
        <v/>
      </c>
      <c r="H35" s="30" t="inlineStr">
        <is>
          <t>—</t>
        </is>
      </c>
      <c r="I35" s="31" t="inlineStr">
        <is>
          <t>90세</t>
        </is>
      </c>
      <c r="J35" s="32" t="inlineStr">
        <is>
          <t>최초1회</t>
        </is>
      </c>
    </row>
    <row r="36" ht="15.75" customHeight="1">
      <c r="B36" s="27" t="n"/>
      <c r="C36" s="28" t="inlineStr">
        <is>
          <t>심장질환(특정Ⅰ)진단비 → 허혈성심장질환</t>
        </is>
      </c>
      <c r="D36" s="29" t="n">
        <v>1000</v>
      </c>
      <c r="E36" s="27" t="inlineStr">
        <is>
          <t>—</t>
        </is>
      </c>
      <c r="F36" s="30" t="inlineStr">
        <is>
          <t>—</t>
        </is>
      </c>
      <c r="G36" s="29">
        <f>D36</f>
        <v/>
      </c>
      <c r="H36" s="30" t="inlineStr">
        <is>
          <t>—</t>
        </is>
      </c>
      <c r="I36" s="31" t="inlineStr">
        <is>
          <t>90세</t>
        </is>
      </c>
      <c r="J36" s="32" t="inlineStr">
        <is>
          <t>최초1회</t>
        </is>
      </c>
    </row>
    <row r="37" ht="15.75" customHeight="1">
      <c r="B37" s="27" t="n"/>
      <c r="C37" s="28" t="inlineStr">
        <is>
          <t>허혈성심장질환진단비(감액없음)</t>
        </is>
      </c>
      <c r="D37" s="29" t="n">
        <v>1000</v>
      </c>
      <c r="E37" s="27" t="inlineStr">
        <is>
          <t>—</t>
        </is>
      </c>
      <c r="F37" s="30" t="inlineStr">
        <is>
          <t>—</t>
        </is>
      </c>
      <c r="G37" s="29">
        <f>D37</f>
        <v/>
      </c>
      <c r="H37" s="30" t="inlineStr">
        <is>
          <t>—</t>
        </is>
      </c>
      <c r="I37" s="31" t="inlineStr">
        <is>
          <t>90세</t>
        </is>
      </c>
      <c r="J37" s="32" t="inlineStr">
        <is>
          <t>최초1회</t>
        </is>
      </c>
    </row>
    <row r="38" ht="15.75" customHeight="1">
      <c r="B38" s="27" t="n"/>
      <c r="C38" s="28" t="inlineStr">
        <is>
          <t>부정맥질환(I49)진단비(20년갱신형)</t>
        </is>
      </c>
      <c r="D38" s="29" t="n">
        <v>500</v>
      </c>
      <c r="E38" s="27" t="inlineStr">
        <is>
          <t>—</t>
        </is>
      </c>
      <c r="F38" s="30" t="inlineStr">
        <is>
          <t>—</t>
        </is>
      </c>
      <c r="G38" s="29">
        <f>D38</f>
        <v/>
      </c>
      <c r="H38" s="30" t="inlineStr">
        <is>
          <t>—</t>
        </is>
      </c>
      <c r="I38" s="31" t="inlineStr">
        <is>
          <t>90세</t>
        </is>
      </c>
      <c r="J38" s="32" t="inlineStr">
        <is>
          <t>최초1회</t>
        </is>
      </c>
    </row>
    <row r="39" ht="21.75" customHeight="1">
      <c r="B39" s="7" t="inlineStr">
        <is>
          <t>▌ 순환계질환 주요치료비 (뇌·심 치료단계별)</t>
        </is>
      </c>
    </row>
    <row r="40" ht="25.5" customHeight="1">
      <c r="B40" s="34" t="n"/>
      <c r="C40" s="34" t="inlineStr">
        <is>
          <t>—</t>
        </is>
      </c>
      <c r="D40" s="35" t="inlineStr">
        <is>
          <t>—</t>
        </is>
      </c>
      <c r="E40" s="36" t="inlineStr">
        <is>
          <t>순환계질환(3-5종)주요치료비Ⅲ(수술시)(연간1회한)</t>
        </is>
      </c>
      <c r="F40" s="37" t="n">
        <v>1000</v>
      </c>
      <c r="G40" s="37">
        <f>F40</f>
        <v/>
      </c>
      <c r="H40" s="37" t="n">
        <v>5490</v>
      </c>
      <c r="I40" s="38" t="inlineStr">
        <is>
          <t>90세</t>
        </is>
      </c>
      <c r="J40" s="39" t="inlineStr">
        <is>
          <t>연간1회(매년)</t>
        </is>
      </c>
    </row>
    <row r="41" ht="25.5" customHeight="1">
      <c r="B41" s="34" t="n"/>
      <c r="C41" s="34" t="inlineStr">
        <is>
          <t>—</t>
        </is>
      </c>
      <c r="D41" s="35" t="inlineStr">
        <is>
          <t>—</t>
        </is>
      </c>
      <c r="E41" s="36" t="inlineStr">
        <is>
          <t>순환계질환(3-5종)주요치료비Ⅲ(중환자실입원시)(연간1회한)</t>
        </is>
      </c>
      <c r="F41" s="37" t="n">
        <v>1000</v>
      </c>
      <c r="G41" s="37">
        <f>F41</f>
        <v/>
      </c>
      <c r="H41" s="37" t="n">
        <v>2680</v>
      </c>
      <c r="I41" s="38" t="inlineStr">
        <is>
          <t>90세</t>
        </is>
      </c>
      <c r="J41" s="39" t="inlineStr">
        <is>
          <t>연간1회(매년)</t>
        </is>
      </c>
    </row>
    <row r="42" ht="25.5" customHeight="1">
      <c r="B42" s="34" t="n"/>
      <c r="C42" s="34" t="inlineStr">
        <is>
          <t>—</t>
        </is>
      </c>
      <c r="D42" s="35" t="inlineStr">
        <is>
          <t>—</t>
        </is>
      </c>
      <c r="E42" s="36" t="inlineStr">
        <is>
          <t>순환계질환(3-5종)주요치료비Ⅲ(혈전용해/뇌혈관)(연간1회한)</t>
        </is>
      </c>
      <c r="F42" s="37" t="n">
        <v>1000</v>
      </c>
      <c r="G42" s="37">
        <f>F42</f>
        <v/>
      </c>
      <c r="H42" s="37" t="n">
        <v>2330</v>
      </c>
      <c r="I42" s="38" t="inlineStr">
        <is>
          <t>90세</t>
        </is>
      </c>
      <c r="J42" s="39" t="inlineStr">
        <is>
          <t>연간1회(매년)</t>
        </is>
      </c>
    </row>
    <row r="43" ht="25.5" customHeight="1">
      <c r="B43" s="34" t="n"/>
      <c r="C43" s="34" t="inlineStr">
        <is>
          <t>—</t>
        </is>
      </c>
      <c r="D43" s="35" t="inlineStr">
        <is>
          <t>—</t>
        </is>
      </c>
      <c r="E43" s="36" t="inlineStr">
        <is>
          <t>순환계질환(3-5종)주요치료비Ⅲ(혈전용해/심혈관·기타)(연간1회한)</t>
        </is>
      </c>
      <c r="F43" s="37" t="n">
        <v>1000</v>
      </c>
      <c r="G43" s="37">
        <f>F43</f>
        <v/>
      </c>
      <c r="H43" s="37" t="n">
        <v>3260</v>
      </c>
      <c r="I43" s="38" t="inlineStr">
        <is>
          <t>90세</t>
        </is>
      </c>
      <c r="J43" s="39" t="inlineStr">
        <is>
          <t>연간1회(매년)</t>
        </is>
      </c>
    </row>
    <row r="44" ht="21.75" customHeight="1">
      <c r="B44" s="7" t="inlineStr">
        <is>
          <t>▌ 상해 · 질병 수술비</t>
        </is>
      </c>
    </row>
    <row r="45" ht="15.75" customHeight="1">
      <c r="B45" s="27" t="n"/>
      <c r="C45" s="28" t="inlineStr">
        <is>
          <t>상해수술비Q</t>
        </is>
      </c>
      <c r="D45" s="29" t="n">
        <v>100</v>
      </c>
      <c r="E45" s="27" t="inlineStr">
        <is>
          <t>—</t>
        </is>
      </c>
      <c r="F45" s="30" t="inlineStr">
        <is>
          <t>—</t>
        </is>
      </c>
      <c r="G45" s="29">
        <f>D45</f>
        <v/>
      </c>
      <c r="H45" s="30" t="inlineStr">
        <is>
          <t>—</t>
        </is>
      </c>
      <c r="I45" s="31" t="inlineStr">
        <is>
          <t>90세</t>
        </is>
      </c>
      <c r="J45" s="32" t="inlineStr">
        <is>
          <t>약관참조</t>
        </is>
      </c>
    </row>
    <row r="46" ht="15.75" customHeight="1">
      <c r="B46" s="27" t="n"/>
      <c r="C46" s="28" t="inlineStr">
        <is>
          <t>질병수술비</t>
        </is>
      </c>
      <c r="D46" s="29" t="n">
        <v>20</v>
      </c>
      <c r="E46" s="27" t="inlineStr">
        <is>
          <t>—</t>
        </is>
      </c>
      <c r="F46" s="30" t="inlineStr">
        <is>
          <t>—</t>
        </is>
      </c>
      <c r="G46" s="29">
        <f>D46</f>
        <v/>
      </c>
      <c r="H46" s="30" t="inlineStr">
        <is>
          <t>—</t>
        </is>
      </c>
      <c r="I46" s="31" t="inlineStr">
        <is>
          <t>90세</t>
        </is>
      </c>
      <c r="J46" s="32" t="inlineStr">
        <is>
          <t>약관참조</t>
        </is>
      </c>
    </row>
    <row r="47" ht="24" customHeight="1">
      <c r="B47" s="27" t="n"/>
      <c r="C47" s="28" t="inlineStr">
        <is>
          <t>질병수술비(백내장·대장용종 제외)(매회지급)</t>
        </is>
      </c>
      <c r="D47" s="29" t="n">
        <v>10</v>
      </c>
      <c r="E47" s="27" t="inlineStr">
        <is>
          <t>—</t>
        </is>
      </c>
      <c r="F47" s="30" t="inlineStr">
        <is>
          <t>—</t>
        </is>
      </c>
      <c r="G47" s="29">
        <f>D47</f>
        <v/>
      </c>
      <c r="H47" s="30" t="inlineStr">
        <is>
          <t>—</t>
        </is>
      </c>
      <c r="I47" s="31" t="inlineStr">
        <is>
          <t>90세</t>
        </is>
      </c>
      <c r="J47" s="32" t="inlineStr">
        <is>
          <t>매회지급</t>
        </is>
      </c>
    </row>
    <row r="48" ht="15.75" customHeight="1">
      <c r="B48" s="27" t="n"/>
      <c r="C48" s="28" t="inlineStr">
        <is>
          <t>질병수술비(백내장 제외)</t>
        </is>
      </c>
      <c r="D48" s="29" t="n">
        <v>10</v>
      </c>
      <c r="E48" s="27" t="inlineStr">
        <is>
          <t>—</t>
        </is>
      </c>
      <c r="F48" s="30" t="inlineStr">
        <is>
          <t>—</t>
        </is>
      </c>
      <c r="G48" s="29">
        <f>D48</f>
        <v/>
      </c>
      <c r="H48" s="30" t="inlineStr">
        <is>
          <t>—</t>
        </is>
      </c>
      <c r="I48" s="31" t="inlineStr">
        <is>
          <t>90세</t>
        </is>
      </c>
      <c r="J48" s="32" t="inlineStr">
        <is>
          <t>약관참조</t>
        </is>
      </c>
    </row>
    <row r="49" ht="15.75" customHeight="1">
      <c r="B49" s="27" t="n"/>
      <c r="C49" s="28" t="inlineStr">
        <is>
          <t>신질병1~5종수술비 _1종</t>
        </is>
      </c>
      <c r="D49" s="29" t="n">
        <v>20</v>
      </c>
      <c r="E49" s="27" t="inlineStr">
        <is>
          <t>—</t>
        </is>
      </c>
      <c r="F49" s="30" t="inlineStr">
        <is>
          <t>—</t>
        </is>
      </c>
      <c r="G49" s="29">
        <f>D49</f>
        <v/>
      </c>
      <c r="H49" s="30" t="inlineStr">
        <is>
          <t>—</t>
        </is>
      </c>
      <c r="I49" s="31" t="inlineStr">
        <is>
          <t>90세</t>
        </is>
      </c>
      <c r="J49" s="32" t="inlineStr">
        <is>
          <t>약관참조</t>
        </is>
      </c>
    </row>
    <row r="50" ht="15.75" customHeight="1">
      <c r="B50" s="27" t="n"/>
      <c r="C50" s="28" t="inlineStr">
        <is>
          <t>신질병1~5종수술비 _2종</t>
        </is>
      </c>
      <c r="D50" s="29" t="n">
        <v>50</v>
      </c>
      <c r="E50" s="27" t="inlineStr">
        <is>
          <t>—</t>
        </is>
      </c>
      <c r="F50" s="30" t="inlineStr">
        <is>
          <t>—</t>
        </is>
      </c>
      <c r="G50" s="29">
        <f>D50</f>
        <v/>
      </c>
      <c r="H50" s="30" t="inlineStr">
        <is>
          <t>—</t>
        </is>
      </c>
      <c r="I50" s="31" t="inlineStr">
        <is>
          <t>90세</t>
        </is>
      </c>
      <c r="J50" s="32" t="inlineStr">
        <is>
          <t>약관참조</t>
        </is>
      </c>
    </row>
    <row r="51" ht="15.75" customHeight="1">
      <c r="B51" s="27" t="n"/>
      <c r="C51" s="28" t="inlineStr">
        <is>
          <t>신질병1~5종수술비 _3종</t>
        </is>
      </c>
      <c r="D51" s="29" t="n">
        <v>200</v>
      </c>
      <c r="E51" s="27" t="inlineStr">
        <is>
          <t>—</t>
        </is>
      </c>
      <c r="F51" s="30" t="inlineStr">
        <is>
          <t>—</t>
        </is>
      </c>
      <c r="G51" s="29">
        <f>D51</f>
        <v/>
      </c>
      <c r="H51" s="30" t="inlineStr">
        <is>
          <t>—</t>
        </is>
      </c>
      <c r="I51" s="31" t="inlineStr">
        <is>
          <t>90세</t>
        </is>
      </c>
      <c r="J51" s="32" t="inlineStr">
        <is>
          <t>약관참조</t>
        </is>
      </c>
    </row>
    <row r="52" ht="15.75" customHeight="1">
      <c r="B52" s="27" t="n"/>
      <c r="C52" s="28" t="inlineStr">
        <is>
          <t>신질병1~5종수술비 _4종</t>
        </is>
      </c>
      <c r="D52" s="29" t="n">
        <v>500</v>
      </c>
      <c r="E52" s="27" t="inlineStr">
        <is>
          <t>—</t>
        </is>
      </c>
      <c r="F52" s="30" t="inlineStr">
        <is>
          <t>—</t>
        </is>
      </c>
      <c r="G52" s="29">
        <f>D52</f>
        <v/>
      </c>
      <c r="H52" s="30" t="inlineStr">
        <is>
          <t>—</t>
        </is>
      </c>
      <c r="I52" s="31" t="inlineStr">
        <is>
          <t>90세</t>
        </is>
      </c>
      <c r="J52" s="32" t="inlineStr">
        <is>
          <t>약관참조</t>
        </is>
      </c>
    </row>
    <row r="53" ht="15.75" customHeight="1">
      <c r="B53" s="27" t="n"/>
      <c r="C53" s="28" t="inlineStr">
        <is>
          <t>신질병1~5종수술비 _5종</t>
        </is>
      </c>
      <c r="D53" s="29" t="n">
        <v>500</v>
      </c>
      <c r="E53" s="27" t="inlineStr">
        <is>
          <t>—</t>
        </is>
      </c>
      <c r="F53" s="30" t="inlineStr">
        <is>
          <t>—</t>
        </is>
      </c>
      <c r="G53" s="29">
        <f>D53</f>
        <v/>
      </c>
      <c r="H53" s="30" t="inlineStr">
        <is>
          <t>—</t>
        </is>
      </c>
      <c r="I53" s="31" t="inlineStr">
        <is>
          <t>90세</t>
        </is>
      </c>
      <c r="J53" s="32" t="inlineStr">
        <is>
          <t>약관참조</t>
        </is>
      </c>
    </row>
    <row r="54" ht="15.75" customHeight="1">
      <c r="B54" s="27" t="n"/>
      <c r="C54" s="27" t="inlineStr">
        <is>
          <t>112대질병수술비 Ⅰ</t>
        </is>
      </c>
      <c r="D54" s="29" t="n">
        <v>1000</v>
      </c>
      <c r="E54" s="27" t="inlineStr">
        <is>
          <t>—</t>
        </is>
      </c>
      <c r="F54" s="30" t="inlineStr">
        <is>
          <t>—</t>
        </is>
      </c>
      <c r="G54" s="29">
        <f>D54</f>
        <v/>
      </c>
      <c r="H54" s="30" t="inlineStr">
        <is>
          <t>—</t>
        </is>
      </c>
      <c r="I54" s="31" t="inlineStr">
        <is>
          <t>90세</t>
        </is>
      </c>
      <c r="J54" s="32" t="inlineStr">
        <is>
          <t>약관참조</t>
        </is>
      </c>
    </row>
    <row r="55" ht="15.75" customHeight="1">
      <c r="B55" s="27" t="n"/>
      <c r="C55" s="27" t="inlineStr">
        <is>
          <t>112대질병수술비 Ⅱ</t>
        </is>
      </c>
      <c r="D55" s="29" t="n">
        <v>500</v>
      </c>
      <c r="E55" s="27" t="inlineStr">
        <is>
          <t>—</t>
        </is>
      </c>
      <c r="F55" s="30" t="inlineStr">
        <is>
          <t>—</t>
        </is>
      </c>
      <c r="G55" s="29">
        <f>D55</f>
        <v/>
      </c>
      <c r="H55" s="30" t="inlineStr">
        <is>
          <t>—</t>
        </is>
      </c>
      <c r="I55" s="31" t="inlineStr">
        <is>
          <t>90세</t>
        </is>
      </c>
      <c r="J55" s="32" t="inlineStr">
        <is>
          <t>약관참조</t>
        </is>
      </c>
    </row>
    <row r="56" ht="15.75" customHeight="1">
      <c r="B56" s="27" t="n"/>
      <c r="C56" s="27" t="inlineStr">
        <is>
          <t>112대질병수술비 Ⅲ</t>
        </is>
      </c>
      <c r="D56" s="29" t="n">
        <v>200</v>
      </c>
      <c r="E56" s="27" t="inlineStr">
        <is>
          <t>—</t>
        </is>
      </c>
      <c r="F56" s="30" t="inlineStr">
        <is>
          <t>—</t>
        </is>
      </c>
      <c r="G56" s="29">
        <f>D56</f>
        <v/>
      </c>
      <c r="H56" s="30" t="inlineStr">
        <is>
          <t>—</t>
        </is>
      </c>
      <c r="I56" s="31" t="inlineStr">
        <is>
          <t>90세</t>
        </is>
      </c>
      <c r="J56" s="32" t="inlineStr">
        <is>
          <t>약관참조</t>
        </is>
      </c>
    </row>
    <row r="57" ht="15.75" customHeight="1">
      <c r="B57" s="27" t="n"/>
      <c r="C57" s="27" t="inlineStr">
        <is>
          <t>112대질병수술비 Ⅳ</t>
        </is>
      </c>
      <c r="D57" s="29" t="n">
        <v>100</v>
      </c>
      <c r="E57" s="27" t="inlineStr">
        <is>
          <t>—</t>
        </is>
      </c>
      <c r="F57" s="30" t="inlineStr">
        <is>
          <t>—</t>
        </is>
      </c>
      <c r="G57" s="29">
        <f>D57</f>
        <v/>
      </c>
      <c r="H57" s="30" t="inlineStr">
        <is>
          <t>—</t>
        </is>
      </c>
      <c r="I57" s="31" t="inlineStr">
        <is>
          <t>90세</t>
        </is>
      </c>
      <c r="J57" s="32" t="inlineStr">
        <is>
          <t>약관참조</t>
        </is>
      </c>
    </row>
    <row r="58" ht="15.75" customHeight="1">
      <c r="B58" s="27" t="n"/>
      <c r="C58" s="27" t="inlineStr">
        <is>
          <t>112대질병수술비 Ⅴ</t>
        </is>
      </c>
      <c r="D58" s="29" t="n">
        <v>40</v>
      </c>
      <c r="E58" s="27" t="inlineStr">
        <is>
          <t>—</t>
        </is>
      </c>
      <c r="F58" s="30" t="inlineStr">
        <is>
          <t>—</t>
        </is>
      </c>
      <c r="G58" s="29">
        <f>D58</f>
        <v/>
      </c>
      <c r="H58" s="30" t="inlineStr">
        <is>
          <t>—</t>
        </is>
      </c>
      <c r="I58" s="31" t="inlineStr">
        <is>
          <t>90세</t>
        </is>
      </c>
      <c r="J58" s="32" t="inlineStr">
        <is>
          <t>약관참조</t>
        </is>
      </c>
    </row>
    <row r="59" ht="15.75" customHeight="1">
      <c r="B59" s="27" t="n"/>
      <c r="C59" s="27" t="inlineStr">
        <is>
          <t>112대질병수술비 Ⅵ</t>
        </is>
      </c>
      <c r="D59" s="29" t="n">
        <v>40</v>
      </c>
      <c r="E59" s="27" t="inlineStr">
        <is>
          <t>—</t>
        </is>
      </c>
      <c r="F59" s="30" t="inlineStr">
        <is>
          <t>—</t>
        </is>
      </c>
      <c r="G59" s="29">
        <f>D59</f>
        <v/>
      </c>
      <c r="H59" s="30" t="inlineStr">
        <is>
          <t>—</t>
        </is>
      </c>
      <c r="I59" s="31" t="inlineStr">
        <is>
          <t>90세</t>
        </is>
      </c>
      <c r="J59" s="32" t="inlineStr">
        <is>
          <t>약관참조</t>
        </is>
      </c>
    </row>
    <row r="60" ht="15.75" customHeight="1">
      <c r="B60" s="27" t="n"/>
      <c r="C60" s="27" t="inlineStr">
        <is>
          <t>5대기관질병수술비_뇌질환(관혈)</t>
        </is>
      </c>
      <c r="D60" s="29" t="n">
        <v>500</v>
      </c>
      <c r="E60" s="27" t="inlineStr">
        <is>
          <t>—</t>
        </is>
      </c>
      <c r="F60" s="30" t="inlineStr">
        <is>
          <t>—</t>
        </is>
      </c>
      <c r="G60" s="29">
        <f>D60</f>
        <v/>
      </c>
      <c r="H60" s="30" t="inlineStr">
        <is>
          <t>—</t>
        </is>
      </c>
      <c r="I60" s="31" t="inlineStr">
        <is>
          <t>90세</t>
        </is>
      </c>
      <c r="J60" s="32" t="inlineStr">
        <is>
          <t>최초1회</t>
        </is>
      </c>
    </row>
    <row r="61" ht="15.75" customHeight="1">
      <c r="B61" s="27" t="n"/>
      <c r="C61" s="27" t="inlineStr">
        <is>
          <t>5대기관질병수술비_뇌질환(비관혈)</t>
        </is>
      </c>
      <c r="D61" s="29" t="n">
        <v>300</v>
      </c>
      <c r="E61" s="27" t="inlineStr">
        <is>
          <t>—</t>
        </is>
      </c>
      <c r="F61" s="30" t="inlineStr">
        <is>
          <t>—</t>
        </is>
      </c>
      <c r="G61" s="29">
        <f>D61</f>
        <v/>
      </c>
      <c r="H61" s="30" t="inlineStr">
        <is>
          <t>—</t>
        </is>
      </c>
      <c r="I61" s="31" t="inlineStr">
        <is>
          <t>90세</t>
        </is>
      </c>
      <c r="J61" s="32" t="inlineStr">
        <is>
          <t>최초1회</t>
        </is>
      </c>
    </row>
    <row r="62" ht="15.75" customHeight="1">
      <c r="B62" s="27" t="n"/>
      <c r="C62" s="27" t="inlineStr">
        <is>
          <t>5대기관질병수술비_심장질환(관혈)</t>
        </is>
      </c>
      <c r="D62" s="29" t="n">
        <v>500</v>
      </c>
      <c r="E62" s="27" t="inlineStr">
        <is>
          <t>—</t>
        </is>
      </c>
      <c r="F62" s="30" t="inlineStr">
        <is>
          <t>—</t>
        </is>
      </c>
      <c r="G62" s="29">
        <f>D62</f>
        <v/>
      </c>
      <c r="H62" s="30" t="inlineStr">
        <is>
          <t>—</t>
        </is>
      </c>
      <c r="I62" s="31" t="inlineStr">
        <is>
          <t>90세</t>
        </is>
      </c>
      <c r="J62" s="32" t="inlineStr">
        <is>
          <t>최초1회</t>
        </is>
      </c>
    </row>
    <row r="63" ht="15.75" customHeight="1">
      <c r="B63" s="27" t="n"/>
      <c r="C63" s="27" t="inlineStr">
        <is>
          <t>5대기관질병수술비_심장질환(비관혈)</t>
        </is>
      </c>
      <c r="D63" s="29" t="n">
        <v>300</v>
      </c>
      <c r="E63" s="27" t="inlineStr">
        <is>
          <t>—</t>
        </is>
      </c>
      <c r="F63" s="30" t="inlineStr">
        <is>
          <t>—</t>
        </is>
      </c>
      <c r="G63" s="29">
        <f>D63</f>
        <v/>
      </c>
      <c r="H63" s="30" t="inlineStr">
        <is>
          <t>—</t>
        </is>
      </c>
      <c r="I63" s="31" t="inlineStr">
        <is>
          <t>90세</t>
        </is>
      </c>
      <c r="J63" s="32" t="inlineStr">
        <is>
          <t>최초1회</t>
        </is>
      </c>
    </row>
    <row r="64" ht="15.75" customHeight="1">
      <c r="B64" s="27" t="n"/>
      <c r="C64" s="27" t="inlineStr">
        <is>
          <t>5대기관질병수술비_간질환(관혈)</t>
        </is>
      </c>
      <c r="D64" s="29" t="n">
        <v>500</v>
      </c>
      <c r="E64" s="27" t="inlineStr">
        <is>
          <t>—</t>
        </is>
      </c>
      <c r="F64" s="30" t="inlineStr">
        <is>
          <t>—</t>
        </is>
      </c>
      <c r="G64" s="29">
        <f>D64</f>
        <v/>
      </c>
      <c r="H64" s="30" t="inlineStr">
        <is>
          <t>—</t>
        </is>
      </c>
      <c r="I64" s="31" t="inlineStr">
        <is>
          <t>90세</t>
        </is>
      </c>
      <c r="J64" s="32" t="inlineStr">
        <is>
          <t>최초1회</t>
        </is>
      </c>
    </row>
    <row r="65" ht="15.75" customHeight="1">
      <c r="B65" s="27" t="n"/>
      <c r="C65" s="27" t="inlineStr">
        <is>
          <t>5대기관질병수술비_간질환(비관혈)</t>
        </is>
      </c>
      <c r="D65" s="29" t="n">
        <v>300</v>
      </c>
      <c r="E65" s="27" t="inlineStr">
        <is>
          <t>—</t>
        </is>
      </c>
      <c r="F65" s="30" t="inlineStr">
        <is>
          <t>—</t>
        </is>
      </c>
      <c r="G65" s="29">
        <f>D65</f>
        <v/>
      </c>
      <c r="H65" s="30" t="inlineStr">
        <is>
          <t>—</t>
        </is>
      </c>
      <c r="I65" s="31" t="inlineStr">
        <is>
          <t>90세</t>
        </is>
      </c>
      <c r="J65" s="32" t="inlineStr">
        <is>
          <t>최초1회</t>
        </is>
      </c>
    </row>
    <row r="66" ht="15.75" customHeight="1">
      <c r="B66" s="27" t="n"/>
      <c r="C66" s="27" t="inlineStr">
        <is>
          <t>5대기관질병수술비_신장질환(관혈)</t>
        </is>
      </c>
      <c r="D66" s="29" t="n">
        <v>500</v>
      </c>
      <c r="E66" s="27" t="inlineStr">
        <is>
          <t>—</t>
        </is>
      </c>
      <c r="F66" s="30" t="inlineStr">
        <is>
          <t>—</t>
        </is>
      </c>
      <c r="G66" s="29">
        <f>D66</f>
        <v/>
      </c>
      <c r="H66" s="30" t="inlineStr">
        <is>
          <t>—</t>
        </is>
      </c>
      <c r="I66" s="31" t="inlineStr">
        <is>
          <t>90세</t>
        </is>
      </c>
      <c r="J66" s="32" t="inlineStr">
        <is>
          <t>최초1회</t>
        </is>
      </c>
    </row>
    <row r="67" ht="15.75" customHeight="1">
      <c r="B67" s="27" t="n"/>
      <c r="C67" s="27" t="inlineStr">
        <is>
          <t>5대기관질병수술비_신장질환(비관혈)</t>
        </is>
      </c>
      <c r="D67" s="29" t="n">
        <v>300</v>
      </c>
      <c r="E67" s="27" t="inlineStr">
        <is>
          <t>—</t>
        </is>
      </c>
      <c r="F67" s="30" t="inlineStr">
        <is>
          <t>—</t>
        </is>
      </c>
      <c r="G67" s="29">
        <f>D67</f>
        <v/>
      </c>
      <c r="H67" s="30" t="inlineStr">
        <is>
          <t>—</t>
        </is>
      </c>
      <c r="I67" s="31" t="inlineStr">
        <is>
          <t>90세</t>
        </is>
      </c>
      <c r="J67" s="32" t="inlineStr">
        <is>
          <t>최초1회</t>
        </is>
      </c>
    </row>
    <row r="68" ht="15.75" customHeight="1">
      <c r="B68" s="27" t="n"/>
      <c r="C68" s="27" t="inlineStr">
        <is>
          <t>5대기관질병수술비_폐질환(관혈)</t>
        </is>
      </c>
      <c r="D68" s="29" t="n">
        <v>500</v>
      </c>
      <c r="E68" s="27" t="inlineStr">
        <is>
          <t>—</t>
        </is>
      </c>
      <c r="F68" s="30" t="inlineStr">
        <is>
          <t>—</t>
        </is>
      </c>
      <c r="G68" s="29">
        <f>D68</f>
        <v/>
      </c>
      <c r="H68" s="30" t="inlineStr">
        <is>
          <t>—</t>
        </is>
      </c>
      <c r="I68" s="31" t="inlineStr">
        <is>
          <t>90세</t>
        </is>
      </c>
      <c r="J68" s="32" t="inlineStr">
        <is>
          <t>최초1회</t>
        </is>
      </c>
    </row>
    <row r="69" ht="15.75" customHeight="1">
      <c r="B69" s="27" t="n"/>
      <c r="C69" s="27" t="inlineStr">
        <is>
          <t>5대기관질병수술비_폐질환(비관혈)</t>
        </is>
      </c>
      <c r="D69" s="29" t="n">
        <v>300</v>
      </c>
      <c r="E69" s="27" t="inlineStr">
        <is>
          <t>—</t>
        </is>
      </c>
      <c r="F69" s="30" t="inlineStr">
        <is>
          <t>—</t>
        </is>
      </c>
      <c r="G69" s="29">
        <f>D69</f>
        <v/>
      </c>
      <c r="H69" s="30" t="inlineStr">
        <is>
          <t>—</t>
        </is>
      </c>
      <c r="I69" s="31" t="inlineStr">
        <is>
          <t>90세</t>
        </is>
      </c>
      <c r="J69" s="32" t="inlineStr">
        <is>
          <t>최초1회</t>
        </is>
      </c>
    </row>
    <row r="70" ht="15.75" customHeight="1">
      <c r="B70" s="27" t="n"/>
      <c r="C70" s="27" t="inlineStr">
        <is>
          <t>5대장기이식수술비</t>
        </is>
      </c>
      <c r="D70" s="29" t="n">
        <v>3000</v>
      </c>
      <c r="E70" s="27" t="inlineStr">
        <is>
          <t>—</t>
        </is>
      </c>
      <c r="F70" s="30" t="inlineStr">
        <is>
          <t>—</t>
        </is>
      </c>
      <c r="G70" s="29">
        <f>D70</f>
        <v/>
      </c>
      <c r="H70" s="30" t="inlineStr">
        <is>
          <t>—</t>
        </is>
      </c>
      <c r="I70" s="31" t="inlineStr">
        <is>
          <t>90세</t>
        </is>
      </c>
      <c r="J70" s="32" t="inlineStr">
        <is>
          <t>약관참조</t>
        </is>
      </c>
    </row>
    <row r="71" ht="15.75" customHeight="1">
      <c r="B71" s="27" t="n"/>
      <c r="C71" s="28" t="inlineStr">
        <is>
          <t>다빈치로봇 갑상선·전립선암수술비(10년갱신)</t>
        </is>
      </c>
      <c r="D71" s="29" t="n">
        <v>250</v>
      </c>
      <c r="E71" s="27" t="inlineStr">
        <is>
          <t>—</t>
        </is>
      </c>
      <c r="F71" s="30" t="inlineStr">
        <is>
          <t>—</t>
        </is>
      </c>
      <c r="G71" s="29">
        <f>D71</f>
        <v/>
      </c>
      <c r="H71" s="30" t="inlineStr">
        <is>
          <t>—</t>
        </is>
      </c>
      <c r="I71" s="31" t="inlineStr">
        <is>
          <t>90세</t>
        </is>
      </c>
      <c r="J71" s="32" t="inlineStr">
        <is>
          <t>최초1회</t>
        </is>
      </c>
    </row>
    <row r="72" ht="15.75" customHeight="1">
      <c r="B72" s="27" t="n"/>
      <c r="C72" s="28" t="inlineStr">
        <is>
          <t>다빈치로봇 암수술비(갑상선·전립선 제외)(10년갱신)</t>
        </is>
      </c>
      <c r="D72" s="29" t="n">
        <v>1000</v>
      </c>
      <c r="E72" s="27" t="inlineStr">
        <is>
          <t>—</t>
        </is>
      </c>
      <c r="F72" s="30" t="inlineStr">
        <is>
          <t>—</t>
        </is>
      </c>
      <c r="G72" s="29">
        <f>D72</f>
        <v/>
      </c>
      <c r="H72" s="30" t="inlineStr">
        <is>
          <t>—</t>
        </is>
      </c>
      <c r="I72" s="31" t="inlineStr">
        <is>
          <t>90세</t>
        </is>
      </c>
      <c r="J72" s="32" t="inlineStr">
        <is>
          <t>최초1회</t>
        </is>
      </c>
    </row>
    <row r="73" ht="15.75" customHeight="1">
      <c r="B73" s="27" t="n"/>
      <c r="C73" s="28" t="inlineStr">
        <is>
          <t>신상해1~5종수술비 _1종Q</t>
        </is>
      </c>
      <c r="D73" s="29" t="n">
        <v>20</v>
      </c>
      <c r="E73" s="27" t="inlineStr">
        <is>
          <t>—</t>
        </is>
      </c>
      <c r="F73" s="30" t="inlineStr">
        <is>
          <t>—</t>
        </is>
      </c>
      <c r="G73" s="29">
        <f>D73</f>
        <v/>
      </c>
      <c r="H73" s="30" t="inlineStr">
        <is>
          <t>—</t>
        </is>
      </c>
      <c r="I73" s="31" t="inlineStr">
        <is>
          <t>90세</t>
        </is>
      </c>
      <c r="J73" s="32" t="inlineStr">
        <is>
          <t>약관참조</t>
        </is>
      </c>
    </row>
    <row r="74" ht="15.75" customHeight="1">
      <c r="B74" s="27" t="n"/>
      <c r="C74" s="28" t="inlineStr">
        <is>
          <t>신상해1~5종수술비 _2종Q</t>
        </is>
      </c>
      <c r="D74" s="29" t="n">
        <v>50</v>
      </c>
      <c r="E74" s="27" t="inlineStr">
        <is>
          <t>—</t>
        </is>
      </c>
      <c r="F74" s="30" t="inlineStr">
        <is>
          <t>—</t>
        </is>
      </c>
      <c r="G74" s="29">
        <f>D74</f>
        <v/>
      </c>
      <c r="H74" s="30" t="inlineStr">
        <is>
          <t>—</t>
        </is>
      </c>
      <c r="I74" s="31" t="inlineStr">
        <is>
          <t>90세</t>
        </is>
      </c>
      <c r="J74" s="32" t="inlineStr">
        <is>
          <t>약관참조</t>
        </is>
      </c>
    </row>
    <row r="75" ht="15.75" customHeight="1">
      <c r="B75" s="27" t="n"/>
      <c r="C75" s="28" t="inlineStr">
        <is>
          <t>신상해1~5종수술비 _3종Q</t>
        </is>
      </c>
      <c r="D75" s="29" t="n">
        <v>100</v>
      </c>
      <c r="E75" s="27" t="inlineStr">
        <is>
          <t>—</t>
        </is>
      </c>
      <c r="F75" s="30" t="inlineStr">
        <is>
          <t>—</t>
        </is>
      </c>
      <c r="G75" s="29">
        <f>D75</f>
        <v/>
      </c>
      <c r="H75" s="30" t="inlineStr">
        <is>
          <t>—</t>
        </is>
      </c>
      <c r="I75" s="31" t="inlineStr">
        <is>
          <t>90세</t>
        </is>
      </c>
      <c r="J75" s="32" t="inlineStr">
        <is>
          <t>약관참조</t>
        </is>
      </c>
    </row>
    <row r="76" ht="15.75" customHeight="1">
      <c r="B76" s="27" t="n"/>
      <c r="C76" s="28" t="inlineStr">
        <is>
          <t>신상해1~5종수술비 _4종Q</t>
        </is>
      </c>
      <c r="D76" s="29" t="n">
        <v>500</v>
      </c>
      <c r="E76" s="27" t="inlineStr">
        <is>
          <t>—</t>
        </is>
      </c>
      <c r="F76" s="30" t="inlineStr">
        <is>
          <t>—</t>
        </is>
      </c>
      <c r="G76" s="29">
        <f>D76</f>
        <v/>
      </c>
      <c r="H76" s="30" t="inlineStr">
        <is>
          <t>—</t>
        </is>
      </c>
      <c r="I76" s="31" t="inlineStr">
        <is>
          <t>90세</t>
        </is>
      </c>
      <c r="J76" s="32" t="inlineStr">
        <is>
          <t>약관참조</t>
        </is>
      </c>
    </row>
    <row r="77" ht="15.75" customHeight="1">
      <c r="B77" s="27" t="n"/>
      <c r="C77" s="28" t="inlineStr">
        <is>
          <t>신상해1~5종수술비 _5종Q</t>
        </is>
      </c>
      <c r="D77" s="29" t="n">
        <v>1000</v>
      </c>
      <c r="E77" s="27" t="inlineStr">
        <is>
          <t>—</t>
        </is>
      </c>
      <c r="F77" s="30" t="inlineStr">
        <is>
          <t>—</t>
        </is>
      </c>
      <c r="G77" s="29">
        <f>D77</f>
        <v/>
      </c>
      <c r="H77" s="30" t="inlineStr">
        <is>
          <t>—</t>
        </is>
      </c>
      <c r="I77" s="31" t="inlineStr">
        <is>
          <t>90세</t>
        </is>
      </c>
      <c r="J77" s="32" t="inlineStr">
        <is>
          <t>약관참조</t>
        </is>
      </c>
    </row>
    <row r="78" ht="15.75" customHeight="1">
      <c r="B78" s="27" t="n"/>
      <c r="C78" s="28" t="inlineStr">
        <is>
          <t>상해흉터복원수술비</t>
        </is>
      </c>
      <c r="D78" s="29" t="n">
        <v>7</v>
      </c>
      <c r="E78" s="27" t="inlineStr">
        <is>
          <t>—</t>
        </is>
      </c>
      <c r="F78" s="30" t="inlineStr">
        <is>
          <t>—</t>
        </is>
      </c>
      <c r="G78" s="29">
        <f>D78</f>
        <v/>
      </c>
      <c r="H78" s="30" t="inlineStr">
        <is>
          <t>—</t>
        </is>
      </c>
      <c r="I78" s="31" t="inlineStr">
        <is>
          <t>90세</t>
        </is>
      </c>
      <c r="J78" s="32" t="inlineStr">
        <is>
          <t>약관참조</t>
        </is>
      </c>
    </row>
    <row r="79" ht="15.75" customHeight="1">
      <c r="B79" s="27" t="n"/>
      <c r="C79" s="28" t="inlineStr">
        <is>
          <t>중대한특정상해수술비</t>
        </is>
      </c>
      <c r="D79" s="29" t="n">
        <v>1000</v>
      </c>
      <c r="E79" s="27" t="inlineStr">
        <is>
          <t>—</t>
        </is>
      </c>
      <c r="F79" s="30" t="inlineStr">
        <is>
          <t>—</t>
        </is>
      </c>
      <c r="G79" s="29">
        <f>D79</f>
        <v/>
      </c>
      <c r="H79" s="30" t="inlineStr">
        <is>
          <t>—</t>
        </is>
      </c>
      <c r="I79" s="31" t="inlineStr">
        <is>
          <t>90세</t>
        </is>
      </c>
      <c r="J79" s="32" t="inlineStr">
        <is>
          <t>최초1회</t>
        </is>
      </c>
    </row>
    <row r="80" ht="15.75" customHeight="1">
      <c r="B80" s="27" t="n"/>
      <c r="C80" s="28" t="inlineStr">
        <is>
          <t>각막이식수술비</t>
        </is>
      </c>
      <c r="D80" s="29" t="n">
        <v>1000</v>
      </c>
      <c r="E80" s="27" t="inlineStr">
        <is>
          <t>—</t>
        </is>
      </c>
      <c r="F80" s="30" t="inlineStr">
        <is>
          <t>—</t>
        </is>
      </c>
      <c r="G80" s="29">
        <f>D80</f>
        <v/>
      </c>
      <c r="H80" s="30" t="inlineStr">
        <is>
          <t>—</t>
        </is>
      </c>
      <c r="I80" s="31" t="inlineStr">
        <is>
          <t>90세</t>
        </is>
      </c>
      <c r="J80" s="32" t="inlineStr">
        <is>
          <t>약관참조</t>
        </is>
      </c>
    </row>
    <row r="81" ht="15.75" customHeight="1">
      <c r="B81" s="27" t="n"/>
      <c r="C81" s="28" t="inlineStr">
        <is>
          <t>조혈모세포이식수술비</t>
        </is>
      </c>
      <c r="D81" s="29" t="n">
        <v>3000</v>
      </c>
      <c r="E81" s="27" t="inlineStr">
        <is>
          <t>—</t>
        </is>
      </c>
      <c r="F81" s="30" t="inlineStr">
        <is>
          <t>—</t>
        </is>
      </c>
      <c r="G81" s="29">
        <f>D81</f>
        <v/>
      </c>
      <c r="H81" s="30" t="inlineStr">
        <is>
          <t>—</t>
        </is>
      </c>
      <c r="I81" s="31" t="inlineStr">
        <is>
          <t>90세</t>
        </is>
      </c>
      <c r="J81" s="32" t="inlineStr">
        <is>
          <t>약관참조</t>
        </is>
      </c>
    </row>
    <row r="82" ht="15.75" customHeight="1">
      <c r="B82" s="27" t="n"/>
      <c r="C82" s="28" t="inlineStr">
        <is>
          <t>추간판장애및관절증(엉덩·무릎)수술비</t>
        </is>
      </c>
      <c r="D82" s="29" t="n">
        <v>100</v>
      </c>
      <c r="E82" s="27" t="inlineStr">
        <is>
          <t>—</t>
        </is>
      </c>
      <c r="F82" s="30" t="inlineStr">
        <is>
          <t>—</t>
        </is>
      </c>
      <c r="G82" s="29">
        <f>D82</f>
        <v/>
      </c>
      <c r="H82" s="30" t="inlineStr">
        <is>
          <t>—</t>
        </is>
      </c>
      <c r="I82" s="31" t="inlineStr">
        <is>
          <t>90세</t>
        </is>
      </c>
      <c r="J82" s="32" t="inlineStr">
        <is>
          <t>약관참조</t>
        </is>
      </c>
    </row>
    <row r="83" ht="21.75" customHeight="1">
      <c r="B83" s="7" t="inlineStr">
        <is>
          <t>▌ 입원 · 격리실</t>
        </is>
      </c>
    </row>
    <row r="84" ht="15.75" customHeight="1">
      <c r="B84" s="27" t="n"/>
      <c r="C84" s="28" t="inlineStr">
        <is>
          <t>질병중환자실입원일당(1일이상)Q</t>
        </is>
      </c>
      <c r="D84" s="29" t="n">
        <v>10</v>
      </c>
      <c r="E84" s="27" t="inlineStr">
        <is>
          <t>—</t>
        </is>
      </c>
      <c r="F84" s="30" t="inlineStr">
        <is>
          <t>—</t>
        </is>
      </c>
      <c r="G84" s="29">
        <f>D84</f>
        <v/>
      </c>
      <c r="H84" s="30" t="inlineStr">
        <is>
          <t>—</t>
        </is>
      </c>
      <c r="I84" s="31" t="inlineStr">
        <is>
          <t>90세</t>
        </is>
      </c>
      <c r="J84" s="31" t="inlineStr">
        <is>
          <t>1일당(180일한도)</t>
        </is>
      </c>
    </row>
    <row r="85" ht="15.75" customHeight="1">
      <c r="B85" s="27" t="n"/>
      <c r="C85" s="28" t="inlineStr">
        <is>
          <t>상해중환자실입원일당(1일이상)Ⅱ</t>
        </is>
      </c>
      <c r="D85" s="29" t="n">
        <v>10</v>
      </c>
      <c r="E85" s="27" t="inlineStr">
        <is>
          <t>—</t>
        </is>
      </c>
      <c r="F85" s="30" t="inlineStr">
        <is>
          <t>—</t>
        </is>
      </c>
      <c r="G85" s="29">
        <f>D85</f>
        <v/>
      </c>
      <c r="H85" s="30" t="inlineStr">
        <is>
          <t>—</t>
        </is>
      </c>
      <c r="I85" s="31" t="inlineStr">
        <is>
          <t>90세</t>
        </is>
      </c>
      <c r="J85" s="31" t="inlineStr">
        <is>
          <t>1일당(180일한도)</t>
        </is>
      </c>
    </row>
    <row r="86" ht="15.75" customHeight="1">
      <c r="B86" s="27" t="n"/>
      <c r="C86" s="28" t="inlineStr">
        <is>
          <t>격리실입원(음압)치료비(연간1회한)(10년갱신)</t>
        </is>
      </c>
      <c r="D86" s="29" t="n">
        <v>50</v>
      </c>
      <c r="E86" s="27" t="inlineStr">
        <is>
          <t>—</t>
        </is>
      </c>
      <c r="F86" s="30" t="inlineStr">
        <is>
          <t>—</t>
        </is>
      </c>
      <c r="G86" s="29">
        <f>D86</f>
        <v/>
      </c>
      <c r="H86" s="30" t="inlineStr">
        <is>
          <t>—</t>
        </is>
      </c>
      <c r="I86" s="31" t="inlineStr">
        <is>
          <t>90세</t>
        </is>
      </c>
      <c r="J86" s="33" t="inlineStr">
        <is>
          <t>연간1회(매년)</t>
        </is>
      </c>
    </row>
    <row r="87" ht="15.75" customHeight="1">
      <c r="B87" s="27" t="n"/>
      <c r="C87" s="28" t="inlineStr">
        <is>
          <t>격리실입원(일반)치료비(연간1회한)(10년갱신)</t>
        </is>
      </c>
      <c r="D87" s="29" t="n">
        <v>50</v>
      </c>
      <c r="E87" s="27" t="inlineStr">
        <is>
          <t>—</t>
        </is>
      </c>
      <c r="F87" s="30" t="inlineStr">
        <is>
          <t>—</t>
        </is>
      </c>
      <c r="G87" s="29">
        <f>D87</f>
        <v/>
      </c>
      <c r="H87" s="30" t="inlineStr">
        <is>
          <t>—</t>
        </is>
      </c>
      <c r="I87" s="31" t="inlineStr">
        <is>
          <t>90세</t>
        </is>
      </c>
      <c r="J87" s="33" t="inlineStr">
        <is>
          <t>연간1회(매년)</t>
        </is>
      </c>
    </row>
    <row r="88" ht="21.75" customHeight="1">
      <c r="B88" s="7" t="inlineStr">
        <is>
          <t>▌ 보험료 납입면제</t>
        </is>
      </c>
    </row>
    <row r="89" ht="15.75" customHeight="1">
      <c r="B89" s="27" t="n"/>
      <c r="C89" s="28" t="inlineStr">
        <is>
          <t>자녀보험료납입면제대상보장(6대)</t>
        </is>
      </c>
      <c r="D89" s="29" t="n">
        <v>10</v>
      </c>
      <c r="E89" s="28" t="inlineStr">
        <is>
          <t>보험료납입면제대상보장(5대사유)</t>
        </is>
      </c>
      <c r="F89" s="29" t="n">
        <v>10</v>
      </c>
      <c r="G89" s="30">
        <f>D89+F89</f>
        <v/>
      </c>
      <c r="H89" s="29" t="n">
        <v>41</v>
      </c>
      <c r="I89" s="31" t="inlineStr">
        <is>
          <t>20년</t>
        </is>
      </c>
      <c r="J89" s="32" t="inlineStr">
        <is>
          <t>최초1회</t>
        </is>
      </c>
    </row>
    <row r="90" ht="24" customHeight="1">
      <c r="B90" s="6" t="inlineStr">
        <is>
          <t>월 보험료 합계 (원)</t>
        </is>
      </c>
      <c r="C90" s="74" t="n"/>
      <c r="D90" s="41" t="n">
        <v>126211</v>
      </c>
      <c r="E90" s="42" t="n"/>
      <c r="F90" s="43">
        <f>SUM(H5:H89)</f>
        <v/>
      </c>
      <c r="G90" s="44">
        <f>D90+F90</f>
        <v/>
      </c>
      <c r="H90" s="42" t="n"/>
      <c r="I90" s="42" t="n"/>
      <c r="J90" s="42" t="n"/>
    </row>
    <row r="91" ht="30" customHeight="1">
      <c r="B91" s="5" t="inlineStr">
        <is>
          <t>※ 항목별 금액은 '보험금(가입금액, 만원)', 맨 아래 합계행은 '월 보험료(원)' 비교입니다.  기존 126,211 + 신규 47,112 = 합산 173,323원.  지급주기는 약관 기준이며 일부 기존 담보는 '약관참조'로 표기.</t>
        </is>
      </c>
    </row>
  </sheetData>
  <mergeCells count="13">
    <mergeCell ref="B33:J33"/>
    <mergeCell ref="B24:J24"/>
    <mergeCell ref="B3:J3"/>
    <mergeCell ref="B5:J5"/>
    <mergeCell ref="B90:C90"/>
    <mergeCell ref="B14:J14"/>
    <mergeCell ref="B39:J39"/>
    <mergeCell ref="B9:J9"/>
    <mergeCell ref="B88:J88"/>
    <mergeCell ref="B83:J83"/>
    <mergeCell ref="B91:J91"/>
    <mergeCell ref="B44:J44"/>
    <mergeCell ref="B2:J2"/>
  </mergeCells>
  <pageMargins left="0.75" right="0.75" top="1" bottom="1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42" customWidth="1" min="2" max="2"/>
    <col width="12" customWidth="1" min="3" max="4"/>
    <col width="22" customWidth="1" min="5" max="5"/>
    <col width="14" customWidth="1" min="6" max="6"/>
  </cols>
  <sheetData>
    <row r="1"/>
    <row r="2" ht="27.75" customHeight="1">
      <c r="B2" s="9" t="inlineStr">
        <is>
          <t>항암(抗癌) 치료비 강화 비교  (단위: 만원)</t>
        </is>
      </c>
    </row>
    <row r="3" ht="18" customHeight="1">
      <c r="B3" s="8" t="inlineStr">
        <is>
          <t>※ 신규는 항암 치료 단계별 정액을 '매년 반복(연간1회)' 지급 → 재발·장기치료에 강함</t>
        </is>
      </c>
    </row>
    <row r="4" ht="21.75" customHeight="1">
      <c r="B4" s="19" t="inlineStr">
        <is>
          <t>담보명</t>
        </is>
      </c>
      <c r="C4" s="19" t="inlineStr">
        <is>
          <t>기존 금액</t>
        </is>
      </c>
      <c r="D4" s="19" t="inlineStr">
        <is>
          <t>신규 금액</t>
        </is>
      </c>
      <c r="E4" s="19" t="inlineStr">
        <is>
          <t>지급주기</t>
        </is>
      </c>
      <c r="F4" s="19" t="inlineStr">
        <is>
          <t>구분</t>
        </is>
      </c>
    </row>
    <row r="5" ht="19.5" customHeight="1">
      <c r="B5" s="4" t="inlineStr">
        <is>
          <t>▌ 기존 보유</t>
        </is>
      </c>
    </row>
    <row r="6" ht="16.5" customHeight="1">
      <c r="B6" s="45" t="inlineStr">
        <is>
          <t>항암방사선치료비</t>
        </is>
      </c>
      <c r="C6" s="46" t="n">
        <v>200</v>
      </c>
      <c r="D6" s="47" t="inlineStr">
        <is>
          <t>—</t>
        </is>
      </c>
      <c r="E6" s="48" t="inlineStr">
        <is>
          <t>약관참조</t>
        </is>
      </c>
      <c r="F6" s="48" t="inlineStr">
        <is>
          <t>기존</t>
        </is>
      </c>
    </row>
    <row r="7" ht="16.5" customHeight="1">
      <c r="B7" s="45" t="inlineStr">
        <is>
          <t>항암약물치료비</t>
        </is>
      </c>
      <c r="C7" s="46" t="n">
        <v>200</v>
      </c>
      <c r="D7" s="47" t="inlineStr">
        <is>
          <t>—</t>
        </is>
      </c>
      <c r="E7" s="48" t="inlineStr">
        <is>
          <t>약관참조</t>
        </is>
      </c>
      <c r="F7" s="48" t="inlineStr">
        <is>
          <t>기존</t>
        </is>
      </c>
    </row>
    <row r="8" ht="16.5" customHeight="1">
      <c r="B8" s="45" t="inlineStr">
        <is>
          <t>표적항암방사선치료비(세기조절)</t>
        </is>
      </c>
      <c r="C8" s="46" t="n">
        <v>2000</v>
      </c>
      <c r="D8" s="47" t="inlineStr">
        <is>
          <t>—</t>
        </is>
      </c>
      <c r="E8" s="48" t="inlineStr">
        <is>
          <t>최초1회</t>
        </is>
      </c>
      <c r="F8" s="48" t="inlineStr">
        <is>
          <t>기존</t>
        </is>
      </c>
    </row>
    <row r="9" ht="16.5" customHeight="1">
      <c r="B9" s="45" t="inlineStr">
        <is>
          <t>표적항암방사선치료비(양성자)</t>
        </is>
      </c>
      <c r="C9" s="46" t="n">
        <v>3000</v>
      </c>
      <c r="D9" s="47" t="inlineStr">
        <is>
          <t>—</t>
        </is>
      </c>
      <c r="E9" s="48" t="inlineStr">
        <is>
          <t>최초1회</t>
        </is>
      </c>
      <c r="F9" s="48" t="inlineStr">
        <is>
          <t>기존</t>
        </is>
      </c>
    </row>
    <row r="10" ht="16.5" customHeight="1">
      <c r="B10" s="45" t="inlineStr">
        <is>
          <t>표적항암약물허가치료비</t>
        </is>
      </c>
      <c r="C10" s="46" t="n">
        <v>5000</v>
      </c>
      <c r="D10" s="47" t="inlineStr">
        <is>
          <t>—</t>
        </is>
      </c>
      <c r="E10" s="48" t="inlineStr">
        <is>
          <t>최초1회</t>
        </is>
      </c>
      <c r="F10" s="48" t="inlineStr">
        <is>
          <t>기존</t>
        </is>
      </c>
    </row>
    <row r="11" ht="16.5" customHeight="1">
      <c r="B11" s="45" t="inlineStr">
        <is>
          <t>갑상선암호르몬약물허가치료비</t>
        </is>
      </c>
      <c r="C11" s="46" t="n">
        <v>50</v>
      </c>
      <c r="D11" s="47" t="inlineStr">
        <is>
          <t>—</t>
        </is>
      </c>
      <c r="E11" s="48" t="inlineStr">
        <is>
          <t>최초1회</t>
        </is>
      </c>
      <c r="F11" s="48" t="inlineStr">
        <is>
          <t>기존</t>
        </is>
      </c>
    </row>
    <row r="12" ht="16.5" customHeight="1">
      <c r="B12" s="45" t="inlineStr">
        <is>
          <t>특정항암호르몬약물허가치료비</t>
        </is>
      </c>
      <c r="C12" s="46" t="n">
        <v>50</v>
      </c>
      <c r="D12" s="47" t="inlineStr">
        <is>
          <t>—</t>
        </is>
      </c>
      <c r="E12" s="48" t="inlineStr">
        <is>
          <t>최초1회</t>
        </is>
      </c>
      <c r="F12" s="48" t="inlineStr">
        <is>
          <t>기존</t>
        </is>
      </c>
    </row>
    <row r="13" ht="19.5" customHeight="1">
      <c r="B13" s="4" t="inlineStr">
        <is>
          <t>▌ 신규 추가</t>
        </is>
      </c>
    </row>
    <row r="14" ht="16.5" customHeight="1">
      <c r="B14" s="49" t="inlineStr">
        <is>
          <t>항암방사선약물치료비Ⅱ(유사암포함)</t>
        </is>
      </c>
      <c r="C14" s="50" t="inlineStr">
        <is>
          <t>—</t>
        </is>
      </c>
      <c r="D14" s="51" t="n">
        <v>100</v>
      </c>
      <c r="E14" s="52" t="inlineStr">
        <is>
          <t>최초1회</t>
        </is>
      </c>
      <c r="F14" s="52" t="inlineStr">
        <is>
          <t>신규</t>
        </is>
      </c>
    </row>
    <row r="15" ht="16.5" customHeight="1">
      <c r="B15" s="49" t="inlineStr">
        <is>
          <t>항암중입자방사선치료비</t>
        </is>
      </c>
      <c r="C15" s="50" t="inlineStr">
        <is>
          <t>—</t>
        </is>
      </c>
      <c r="D15" s="51" t="n">
        <v>5000</v>
      </c>
      <c r="E15" s="52" t="inlineStr">
        <is>
          <t>최초1회</t>
        </is>
      </c>
      <c r="F15" s="52" t="inlineStr">
        <is>
          <t>신규</t>
        </is>
      </c>
    </row>
    <row r="16" ht="16.5" customHeight="1">
      <c r="B16" s="49" t="inlineStr">
        <is>
          <t>암주요치료비Ⅱ(항암방사선치료시)</t>
        </is>
      </c>
      <c r="C16" s="50" t="inlineStr">
        <is>
          <t>—</t>
        </is>
      </c>
      <c r="D16" s="51" t="n">
        <v>1000</v>
      </c>
      <c r="E16" s="53" t="inlineStr">
        <is>
          <t>연간1회(매년)</t>
        </is>
      </c>
      <c r="F16" s="52" t="inlineStr">
        <is>
          <t>신규</t>
        </is>
      </c>
    </row>
    <row r="17" ht="16.5" customHeight="1">
      <c r="B17" s="49" t="inlineStr">
        <is>
          <t>암주요치료비Ⅱ(항암약물치료시)</t>
        </is>
      </c>
      <c r="C17" s="50" t="inlineStr">
        <is>
          <t>—</t>
        </is>
      </c>
      <c r="D17" s="51" t="n">
        <v>1000</v>
      </c>
      <c r="E17" s="53" t="inlineStr">
        <is>
          <t>연간1회(매년)</t>
        </is>
      </c>
      <c r="F17" s="52" t="inlineStr">
        <is>
          <t>신규</t>
        </is>
      </c>
    </row>
    <row r="18" ht="16.5" customHeight="1">
      <c r="B18" s="49" t="inlineStr">
        <is>
          <t>하이클래스암주요치료비Ⅱ</t>
        </is>
      </c>
      <c r="C18" s="50" t="inlineStr">
        <is>
          <t>—</t>
        </is>
      </c>
      <c r="D18" s="51" t="n">
        <v>2000</v>
      </c>
      <c r="E18" s="52" t="inlineStr">
        <is>
          <t>연간1회·10년(최대10회)</t>
        </is>
      </c>
      <c r="F18" s="52" t="inlineStr">
        <is>
          <t>신규</t>
        </is>
      </c>
    </row>
    <row r="19" ht="16.5" customHeight="1">
      <c r="B19" s="49" t="inlineStr">
        <is>
          <t>유사암주요치료비Ⅱ(항암방사선치료시)</t>
        </is>
      </c>
      <c r="C19" s="50" t="inlineStr">
        <is>
          <t>—</t>
        </is>
      </c>
      <c r="D19" s="51" t="n">
        <v>600</v>
      </c>
      <c r="E19" s="53" t="inlineStr">
        <is>
          <t>연간1회(매년)</t>
        </is>
      </c>
      <c r="F19" s="52" t="inlineStr">
        <is>
          <t>신규</t>
        </is>
      </c>
    </row>
    <row r="20" ht="16.5" customHeight="1">
      <c r="B20" s="49" t="inlineStr">
        <is>
          <t>유사암주요치료비Ⅱ(항암약물치료시)</t>
        </is>
      </c>
      <c r="C20" s="50" t="inlineStr">
        <is>
          <t>—</t>
        </is>
      </c>
      <c r="D20" s="51" t="n">
        <v>600</v>
      </c>
      <c r="E20" s="53" t="inlineStr">
        <is>
          <t>연간1회(매년)</t>
        </is>
      </c>
      <c r="F20" s="52" t="inlineStr">
        <is>
          <t>신규</t>
        </is>
      </c>
    </row>
    <row r="21" ht="21.75" customHeight="1">
      <c r="B21" s="54" t="inlineStr">
        <is>
          <t>항암 보장 합계</t>
        </is>
      </c>
      <c r="C21" s="55">
        <f>SUM(C6:C12)</f>
        <v/>
      </c>
      <c r="D21" s="55">
        <f>SUM(D14:D20)</f>
        <v/>
      </c>
      <c r="E21" s="3" t="inlineStr">
        <is>
          <t>기존 10,500 / 신규 10,300</t>
        </is>
      </c>
      <c r="F21" s="75" t="n"/>
    </row>
    <row r="22"/>
    <row r="23" ht="30" customHeight="1">
      <c r="B23" s="2" t="inlineStr">
        <is>
          <t>★ 신규 '매년 반복형' 항암 정액 = 암주요(방사선 1,000 + 약물 1,000) + 유사암주요(방사선 600 + 약물 600) + 하이클래스 2,000 = 연 5,200만 (매년 지급)</t>
        </is>
      </c>
      <c r="C23" s="73" t="n"/>
      <c r="D23" s="73" t="n"/>
      <c r="E23" s="73" t="n"/>
      <c r="F23" s="73" t="n"/>
    </row>
  </sheetData>
  <mergeCells count="6">
    <mergeCell ref="B2:F2"/>
    <mergeCell ref="B3:F3"/>
    <mergeCell ref="B5:F5"/>
    <mergeCell ref="B23:F23"/>
    <mergeCell ref="B13:F13"/>
    <mergeCell ref="E21:F21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18" customWidth="1" min="2" max="2"/>
    <col width="40" customWidth="1" min="3" max="3"/>
    <col width="12" customWidth="1" min="4" max="4"/>
    <col width="14" customWidth="1" min="5" max="5"/>
  </cols>
  <sheetData>
    <row r="1"/>
    <row r="2" ht="27.75" customHeight="1">
      <c r="B2" s="9" t="inlineStr">
        <is>
          <t>동시 지급(중복 보장) 예시 — 위암 진단·치료 1년차  (단위: 만원)</t>
        </is>
      </c>
    </row>
    <row r="3" ht="18" customHeight="1">
      <c r="B3" s="5" t="inlineStr">
        <is>
          <t>※ 진단비·주요치료비는 서로 차감되지 않고 동시 지급됩니다. 한 사건에서 단계별 담보가 겹쳐서 지급됩니다.</t>
        </is>
      </c>
    </row>
    <row r="4" ht="21.75" customHeight="1">
      <c r="B4" s="19" t="inlineStr">
        <is>
          <t>치료 단계</t>
        </is>
      </c>
      <c r="C4" s="19" t="inlineStr">
        <is>
          <t>담보명</t>
        </is>
      </c>
      <c r="D4" s="19" t="inlineStr">
        <is>
          <t>구분</t>
        </is>
      </c>
      <c r="E4" s="19" t="inlineStr">
        <is>
          <t>지급액</t>
        </is>
      </c>
    </row>
    <row r="5" ht="18" customHeight="1">
      <c r="B5" s="21" t="inlineStr">
        <is>
          <t>① 진단 확정</t>
        </is>
      </c>
      <c r="C5" s="56" t="inlineStr">
        <is>
          <t>암진단비</t>
        </is>
      </c>
      <c r="D5" s="21" t="inlineStr">
        <is>
          <t>기존</t>
        </is>
      </c>
      <c r="E5" s="57" t="n">
        <v>2000</v>
      </c>
    </row>
    <row r="6" ht="18" customHeight="1">
      <c r="B6" s="68" t="inlineStr">
        <is>
          <t>① 진단 확정</t>
        </is>
      </c>
      <c r="C6" s="59" t="inlineStr">
        <is>
          <t>암진단비Ⅱ</t>
        </is>
      </c>
      <c r="D6" s="68" t="inlineStr">
        <is>
          <t>신규</t>
        </is>
      </c>
      <c r="E6" s="60" t="n">
        <v>100</v>
      </c>
    </row>
    <row r="7" ht="18" customHeight="1">
      <c r="B7" s="21" t="inlineStr">
        <is>
          <t>② 수술</t>
        </is>
      </c>
      <c r="C7" s="56" t="inlineStr">
        <is>
          <t>질병·특정수술비 (가정)</t>
        </is>
      </c>
      <c r="D7" s="21" t="inlineStr">
        <is>
          <t>기존</t>
        </is>
      </c>
      <c r="E7" s="57" t="n">
        <v>1000</v>
      </c>
    </row>
    <row r="8" ht="18" customHeight="1">
      <c r="B8" s="68" t="inlineStr">
        <is>
          <t>② 수술</t>
        </is>
      </c>
      <c r="C8" s="59" t="inlineStr">
        <is>
          <t>암주요치료비(수술시)</t>
        </is>
      </c>
      <c r="D8" s="68" t="inlineStr">
        <is>
          <t>신규</t>
        </is>
      </c>
      <c r="E8" s="60" t="n">
        <v>1000</v>
      </c>
    </row>
    <row r="9" ht="18" customHeight="1">
      <c r="B9" s="68" t="inlineStr">
        <is>
          <t>③ 중환자실 입원</t>
        </is>
      </c>
      <c r="C9" s="59" t="inlineStr">
        <is>
          <t>암주요치료비(중환자실입원시)</t>
        </is>
      </c>
      <c r="D9" s="68" t="inlineStr">
        <is>
          <t>신규</t>
        </is>
      </c>
      <c r="E9" s="60" t="n">
        <v>1000</v>
      </c>
    </row>
    <row r="10" ht="18" customHeight="1">
      <c r="B10" s="21" t="inlineStr">
        <is>
          <t>④ 항암 약물</t>
        </is>
      </c>
      <c r="C10" s="56" t="inlineStr">
        <is>
          <t>항암약물치료비</t>
        </is>
      </c>
      <c r="D10" s="21" t="inlineStr">
        <is>
          <t>기존</t>
        </is>
      </c>
      <c r="E10" s="57" t="n">
        <v>200</v>
      </c>
    </row>
    <row r="11" ht="18" customHeight="1">
      <c r="B11" s="68" t="inlineStr">
        <is>
          <t>④ 항암 약물</t>
        </is>
      </c>
      <c r="C11" s="59" t="inlineStr">
        <is>
          <t>암주요치료비(항암약물치료시)</t>
        </is>
      </c>
      <c r="D11" s="68" t="inlineStr">
        <is>
          <t>신규</t>
        </is>
      </c>
      <c r="E11" s="60" t="n">
        <v>1000</v>
      </c>
    </row>
    <row r="12" ht="18" customHeight="1">
      <c r="B12" s="21" t="inlineStr">
        <is>
          <t>⑤ 항암 방사선</t>
        </is>
      </c>
      <c r="C12" s="56" t="inlineStr">
        <is>
          <t>항암방사선치료비</t>
        </is>
      </c>
      <c r="D12" s="21" t="inlineStr">
        <is>
          <t>기존</t>
        </is>
      </c>
      <c r="E12" s="57" t="n">
        <v>200</v>
      </c>
    </row>
    <row r="13" ht="18" customHeight="1">
      <c r="B13" s="68" t="inlineStr">
        <is>
          <t>⑤ 항암 방사선</t>
        </is>
      </c>
      <c r="C13" s="59" t="inlineStr">
        <is>
          <t>암주요치료비(항암방사선치료시)</t>
        </is>
      </c>
      <c r="D13" s="68" t="inlineStr">
        <is>
          <t>신규</t>
        </is>
      </c>
      <c r="E13" s="60" t="n">
        <v>1000</v>
      </c>
    </row>
    <row r="14" ht="15" customHeight="1">
      <c r="B14" s="23" t="inlineStr">
        <is>
          <t>소계 · 기존</t>
        </is>
      </c>
      <c r="C14" s="73" t="n"/>
      <c r="D14" s="75" t="n"/>
      <c r="E14" s="41">
        <f>SUMIF(D5:D13,"기존",E5:E13)</f>
        <v/>
      </c>
    </row>
    <row r="15" ht="15" customHeight="1">
      <c r="B15" s="68" t="inlineStr">
        <is>
          <t>소계 · 신규</t>
        </is>
      </c>
      <c r="C15" s="73" t="n"/>
      <c r="D15" s="75" t="n"/>
      <c r="E15" s="61">
        <f>SUMIF(D5:D13,"신규",E5:E13)</f>
        <v/>
      </c>
    </row>
    <row r="16" ht="25.5" customHeight="1">
      <c r="B16" s="69" t="inlineStr">
        <is>
          <t>합계 (동시 지급)</t>
        </is>
      </c>
      <c r="C16" s="73" t="n"/>
      <c r="D16" s="75" t="n"/>
      <c r="E16" s="62">
        <f>SUM(E5:E13)</f>
        <v/>
      </c>
    </row>
    <row r="17"/>
    <row r="18" ht="43.5" customHeight="1">
      <c r="B18" s="70" t="inlineStr">
        <is>
          <t>★ 고액·비급여 치료 시 하이클래스암주요치료비 2,000만 · 항암중입자 5,000만이 추가 지급될 수 있습니다.  ※ 예시·가정이며 실제 지급은 약관 요건 충족 시. '질병·특정수술비 1,000만'은 대표 예시값.</t>
        </is>
      </c>
      <c r="C18" s="73" t="n"/>
      <c r="D18" s="73" t="n"/>
      <c r="E18" s="73" t="n"/>
    </row>
  </sheetData>
  <mergeCells count="6">
    <mergeCell ref="B18:E18"/>
    <mergeCell ref="B14:D14"/>
    <mergeCell ref="B3:E3"/>
    <mergeCell ref="B2:E2"/>
    <mergeCell ref="B15:D15"/>
    <mergeCell ref="B16:D16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tabSelected="1" zoomScaleNormal="100" workbookViewId="0">
      <selection activeCell="K17" sqref="K17"/>
    </sheetView>
  </sheetViews>
  <sheetFormatPr baseColWidth="8" defaultColWidth="8.7109375" defaultRowHeight="15"/>
  <cols>
    <col width="2" customWidth="1" min="1" max="1"/>
    <col width="16" customWidth="1" min="2" max="2"/>
    <col width="26" customWidth="1" min="3" max="3"/>
    <col width="30" customWidth="1" min="4" max="4"/>
    <col width="22" customWidth="1" min="5" max="5"/>
  </cols>
  <sheetData>
    <row r="1"/>
    <row r="2" ht="27.75" customHeight="1">
      <c r="B2" s="71" t="inlineStr">
        <is>
          <t>'연간 1회 = 매년 반복' 누적 보장  (재발·장기치료 시, 단위: 만원)</t>
        </is>
      </c>
    </row>
    <row r="3" ht="18" customHeight="1">
      <c r="B3" s="72" t="inlineStr">
        <is>
          <t>※ '연간 1회한'은 보험연도마다 1회. 항암치료가 이어지거나 재발하면 해마다 다시 지급됩니다.</t>
        </is>
      </c>
    </row>
    <row r="4" ht="31.5" customHeight="1">
      <c r="B4" s="19" t="inlineStr">
        <is>
          <t>경과</t>
        </is>
      </c>
      <c r="C4" s="19" t="inlineStr">
        <is>
          <t>신규 누적
(암주요 항암 2,000/년)</t>
        </is>
      </c>
      <c r="D4" s="63" t="inlineStr">
        <is>
          <t>+ 하이클래스 포함
(최대 4,000/년·10년한)</t>
        </is>
      </c>
      <c r="E4" s="19" t="inlineStr">
        <is>
          <t>기존 (1회성, 가정)</t>
        </is>
      </c>
    </row>
    <row r="5" ht="19.5" customHeight="1">
      <c r="B5" s="64" t="inlineStr">
        <is>
          <t>1년차</t>
        </is>
      </c>
      <c r="C5" s="65">
        <f>2000*1</f>
        <v/>
      </c>
      <c r="D5" s="66">
        <f>2000*1+2000*MIN(1,10)</f>
        <v/>
      </c>
      <c r="E5" s="67" t="n">
        <v>400</v>
      </c>
    </row>
    <row r="6" ht="19.5" customHeight="1">
      <c r="B6" s="64" t="inlineStr">
        <is>
          <t>2년차</t>
        </is>
      </c>
      <c r="C6" s="65">
        <f>2000*2</f>
        <v/>
      </c>
      <c r="D6" s="66">
        <f>2000*2+2000*MIN(2,10)</f>
        <v/>
      </c>
      <c r="E6" s="67" t="n">
        <v>400</v>
      </c>
    </row>
    <row r="7" ht="19.5" customHeight="1">
      <c r="B7" s="64" t="inlineStr">
        <is>
          <t>3년차</t>
        </is>
      </c>
      <c r="C7" s="65">
        <f>2000*3</f>
        <v/>
      </c>
      <c r="D7" s="66">
        <f>2000*3+2000*MIN(3,10)</f>
        <v/>
      </c>
      <c r="E7" s="67" t="n">
        <v>400</v>
      </c>
    </row>
    <row r="8" ht="19.5" customHeight="1">
      <c r="B8" s="64" t="inlineStr">
        <is>
          <t>4년차</t>
        </is>
      </c>
      <c r="C8" s="65">
        <f>2000*4</f>
        <v/>
      </c>
      <c r="D8" s="66">
        <f>2000*4+2000*MIN(4,10)</f>
        <v/>
      </c>
      <c r="E8" s="67" t="n">
        <v>400</v>
      </c>
    </row>
    <row r="9" ht="19.5" customHeight="1">
      <c r="B9" s="64" t="inlineStr">
        <is>
          <t>5년차</t>
        </is>
      </c>
      <c r="C9" s="65">
        <f>2000*5</f>
        <v/>
      </c>
      <c r="D9" s="66">
        <f>2000*5+2000*MIN(5,10)</f>
        <v/>
      </c>
      <c r="E9" s="67" t="n">
        <v>400</v>
      </c>
    </row>
    <row r="10" ht="19.5" customHeight="1">
      <c r="B10" s="64" t="inlineStr">
        <is>
          <t>10년차</t>
        </is>
      </c>
      <c r="C10" s="65">
        <f>2000*10</f>
        <v/>
      </c>
      <c r="D10" s="66">
        <f>2000*10+2000*MIN(10,10)</f>
        <v/>
      </c>
      <c r="E10" s="67" t="n">
        <v>400</v>
      </c>
    </row>
    <row r="11"/>
    <row r="12" ht="31.5" customHeight="1">
      <c r="B12" s="2" t="inlineStr">
        <is>
          <t>★ 항암약물치료가 3년 이어지면 6,000만, 5년이면 1억 누적. 하이클래스 포함 시 10년 최대 2억까지 가능.  반면 기존 1회성 담보는 최초 1회 지급 후 평탄합니다.</t>
        </is>
      </c>
      <c r="C12" s="73" t="n"/>
      <c r="D12" s="73" t="n"/>
      <c r="E12" s="73" t="n"/>
    </row>
    <row r="13" ht="18" customHeight="1">
      <c r="B13" s="5" t="inlineStr">
        <is>
          <t>※ 매년 반복 지급을 가정한 누적 예시이며, 실제 지급은 연간 1회 한도·진단확정·치료 정의 등 약관 요건 충족 시입니다.</t>
        </is>
      </c>
    </row>
  </sheetData>
  <mergeCells count="4">
    <mergeCell ref="B12:E12"/>
    <mergeCell ref="B13:E13"/>
    <mergeCell ref="B3:E3"/>
    <mergeCell ref="B2:E2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en-US</dc:language>
  <dcterms:created xmlns:dcterms="http://purl.org/dc/terms/" xmlns:xsi="http://www.w3.org/2001/XMLSchema-instance" xsi:type="dcterms:W3CDTF">2026-06-24T08:40:58Z</dcterms:created>
  <dcterms:modified xmlns:dcterms="http://purl.org/dc/terms/" xmlns:xsi="http://www.w3.org/2001/XMLSchema-instance" xsi:type="dcterms:W3CDTF">2026-10-23T08:44:00Z</dcterms:modified>
  <cp:lastModifiedBy/>
  <cp:revision>0</cp:revision>
</cp:coreProperties>
</file>