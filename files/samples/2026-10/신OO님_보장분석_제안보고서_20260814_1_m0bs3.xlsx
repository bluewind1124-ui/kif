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6aa360ead9a3af54/바탕 화면/"/>
    </mc:Choice>
  </mc:AlternateContent>
  <xr:revisionPtr revIDLastSave="19" documentId="8_{F440E29B-7C6B-4631-B024-5619FD9A80BB}" xr6:coauthVersionLast="47" xr6:coauthVersionMax="47" xr10:uidLastSave="{7EA67690-0E80-4025-966D-BB6BCDBD770D}"/>
  <bookViews>
    <workbookView xWindow="-120" yWindow="-120" windowWidth="29040" windowHeight="15720" tabRatio="500" xr2:uid="{00000000-000D-0000-FFFF-FFFF00000000}"/>
  </bookViews>
  <sheets>
    <sheet name="1.표지·요약" sheetId="1" r:id="rId1"/>
    <sheet name="2.계약현황" sheetId="2" r:id="rId2"/>
    <sheet name="3.보장분석(메인)" sheetId="3" r:id="rId3"/>
    <sheet name="4.담보마스터" sheetId="4" r:id="rId4"/>
    <sheet name="5.담보원장" sheetId="5" r:id="rId5"/>
    <sheet name="6.실손분석" sheetId="6" r:id="rId6"/>
    <sheet name="7.3대핵심트렌드" sheetId="7" r:id="rId7"/>
    <sheet name="8.최근담보유형" sheetId="8" r:id="rId8"/>
    <sheet name="9.특이사항" sheetId="9" r:id="rId9"/>
  </sheets>
  <definedNames>
    <definedName name="_xlnm._FilterDatabase" localSheetId="2" hidden="1">'3.보장분석(메인)'!$B$5:$O$100</definedName>
    <definedName name="_xlnm.Print_Area" localSheetId="0">'1.표지·요약'!$A$1:$H$31</definedName>
    <definedName name="_xlnm.Print_Area" localSheetId="1">'2.계약현황'!$A$1:$N$15</definedName>
    <definedName name="_xlnm.Print_Area" localSheetId="2">'3.보장분석(메인)'!$A$1:$O$104</definedName>
    <definedName name="_xlnm.Print_Area" localSheetId="3">'4.담보마스터'!$A$1:$I$82</definedName>
    <definedName name="_xlnm.Print_Area" localSheetId="4">'5.담보원장'!$A$1:$I$70</definedName>
    <definedName name="_xlnm.Print_Area" localSheetId="5">'6.실손분석'!$A$1:$H$34</definedName>
    <definedName name="_xlnm.Print_Area" localSheetId="6">'7.3대핵심트렌드'!$A$1:$F$23</definedName>
    <definedName name="_xlnm.Print_Area" localSheetId="7">'8.최근담보유형'!$A$1:$F$29</definedName>
    <definedName name="_xlnm.Print_Area" localSheetId="8">'9.특이사항'!$A$1:$F$19</definedName>
    <definedName name="_xlnm.Print_Titles" localSheetId="1">'2.계약현황'!$1:$5</definedName>
    <definedName name="_xlnm.Print_Titles" localSheetId="2">'3.보장분석(메인)'!$1:$5</definedName>
    <definedName name="_xlnm.Print_Titles" localSheetId="3">'4.담보마스터'!$1:$4</definedName>
    <definedName name="_xlnm.Print_Titles" localSheetId="4">'5.담보원장'!$1:$4</definedName>
    <definedName name="_xlnm.Print_Titles" localSheetId="5">'6.실손분석'!$1:$2</definedName>
    <definedName name="_xlnm.Print_Titles" localSheetId="6">'7.3대핵심트렌드'!$1:$2</definedName>
    <definedName name="_xlnm.Print_Titles" localSheetId="7">'8.최근담보유형'!$1:$4</definedName>
    <definedName name="_xlnm.Print_Titles" localSheetId="8">'9.특이사항'!$1:$4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100" i="3" l="1"/>
  <c r="N100" i="3"/>
  <c r="L100" i="3"/>
  <c r="I100" i="3"/>
  <c r="D100" i="3"/>
  <c r="C100" i="3"/>
  <c r="F100" i="3" s="1"/>
  <c r="B100" i="3"/>
  <c r="O99" i="3"/>
  <c r="N99" i="3"/>
  <c r="L99" i="3"/>
  <c r="M99" i="3" s="1"/>
  <c r="I99" i="3"/>
  <c r="J99" i="3" s="1"/>
  <c r="G99" i="3"/>
  <c r="F99" i="3"/>
  <c r="E99" i="3"/>
  <c r="D99" i="3"/>
  <c r="C99" i="3"/>
  <c r="K99" i="3" s="1"/>
  <c r="B99" i="3"/>
  <c r="O98" i="3"/>
  <c r="N98" i="3"/>
  <c r="L98" i="3"/>
  <c r="I98" i="3"/>
  <c r="G98" i="3"/>
  <c r="D98" i="3"/>
  <c r="C98" i="3"/>
  <c r="B98" i="3"/>
  <c r="O97" i="3"/>
  <c r="N97" i="3"/>
  <c r="L97" i="3"/>
  <c r="K97" i="3"/>
  <c r="I97" i="3"/>
  <c r="D97" i="3"/>
  <c r="C97" i="3"/>
  <c r="F97" i="3" s="1"/>
  <c r="B97" i="3"/>
  <c r="O96" i="3"/>
  <c r="N96" i="3"/>
  <c r="L96" i="3"/>
  <c r="I96" i="3"/>
  <c r="D96" i="3"/>
  <c r="C96" i="3"/>
  <c r="K96" i="3" s="1"/>
  <c r="B96" i="3"/>
  <c r="O95" i="3"/>
  <c r="N95" i="3"/>
  <c r="M95" i="3"/>
  <c r="L95" i="3"/>
  <c r="I95" i="3"/>
  <c r="D95" i="3"/>
  <c r="C95" i="3"/>
  <c r="K95" i="3" s="1"/>
  <c r="B95" i="3"/>
  <c r="O94" i="3"/>
  <c r="N94" i="3"/>
  <c r="L94" i="3"/>
  <c r="I94" i="3"/>
  <c r="D94" i="3"/>
  <c r="C94" i="3"/>
  <c r="K94" i="3" s="1"/>
  <c r="B94" i="3"/>
  <c r="O93" i="3"/>
  <c r="N93" i="3"/>
  <c r="L93" i="3"/>
  <c r="K93" i="3"/>
  <c r="I93" i="3"/>
  <c r="J93" i="3" s="1"/>
  <c r="F93" i="3"/>
  <c r="E93" i="3"/>
  <c r="D93" i="3"/>
  <c r="C93" i="3"/>
  <c r="B93" i="3"/>
  <c r="O92" i="3"/>
  <c r="N92" i="3"/>
  <c r="L92" i="3"/>
  <c r="K92" i="3"/>
  <c r="I92" i="3"/>
  <c r="H92" i="3"/>
  <c r="D92" i="3"/>
  <c r="C92" i="3"/>
  <c r="B92" i="3"/>
  <c r="O91" i="3"/>
  <c r="N91" i="3"/>
  <c r="L91" i="3"/>
  <c r="M91" i="3" s="1"/>
  <c r="I91" i="3"/>
  <c r="D91" i="3"/>
  <c r="C91" i="3"/>
  <c r="K91" i="3" s="1"/>
  <c r="B91" i="3"/>
  <c r="O90" i="3"/>
  <c r="N90" i="3"/>
  <c r="L90" i="3"/>
  <c r="I90" i="3"/>
  <c r="D90" i="3"/>
  <c r="C90" i="3"/>
  <c r="K90" i="3" s="1"/>
  <c r="B90" i="3"/>
  <c r="O89" i="3"/>
  <c r="N89" i="3"/>
  <c r="L89" i="3"/>
  <c r="I89" i="3"/>
  <c r="F89" i="3"/>
  <c r="E89" i="3"/>
  <c r="D89" i="3"/>
  <c r="C89" i="3"/>
  <c r="B89" i="3"/>
  <c r="O88" i="3"/>
  <c r="N88" i="3"/>
  <c r="L88" i="3"/>
  <c r="K88" i="3"/>
  <c r="I88" i="3"/>
  <c r="H88" i="3"/>
  <c r="G88" i="3"/>
  <c r="D88" i="3"/>
  <c r="C88" i="3"/>
  <c r="B88" i="3"/>
  <c r="O87" i="3"/>
  <c r="N87" i="3"/>
  <c r="L87" i="3"/>
  <c r="M87" i="3" s="1"/>
  <c r="I87" i="3"/>
  <c r="D87" i="3"/>
  <c r="C87" i="3"/>
  <c r="K87" i="3" s="1"/>
  <c r="B87" i="3"/>
  <c r="O86" i="3"/>
  <c r="N86" i="3"/>
  <c r="L86" i="3"/>
  <c r="I86" i="3"/>
  <c r="H86" i="3"/>
  <c r="G86" i="3"/>
  <c r="E86" i="3"/>
  <c r="D86" i="3"/>
  <c r="C86" i="3"/>
  <c r="K86" i="3" s="1"/>
  <c r="B86" i="3"/>
  <c r="O85" i="3"/>
  <c r="N85" i="3"/>
  <c r="L85" i="3"/>
  <c r="I85" i="3"/>
  <c r="J85" i="3" s="1"/>
  <c r="D85" i="3"/>
  <c r="C85" i="3"/>
  <c r="K85" i="3" s="1"/>
  <c r="B85" i="3"/>
  <c r="O84" i="3"/>
  <c r="N84" i="3"/>
  <c r="L84" i="3"/>
  <c r="I84" i="3"/>
  <c r="H84" i="3"/>
  <c r="G84" i="3"/>
  <c r="D84" i="3"/>
  <c r="C84" i="3"/>
  <c r="B84" i="3"/>
  <c r="O83" i="3"/>
  <c r="N83" i="3"/>
  <c r="L83" i="3"/>
  <c r="J83" i="3"/>
  <c r="I83" i="3"/>
  <c r="D83" i="3"/>
  <c r="C83" i="3"/>
  <c r="K83" i="3" s="1"/>
  <c r="B83" i="3"/>
  <c r="O82" i="3"/>
  <c r="N82" i="3"/>
  <c r="L82" i="3"/>
  <c r="I82" i="3"/>
  <c r="D82" i="3"/>
  <c r="C82" i="3"/>
  <c r="G82" i="3" s="1"/>
  <c r="B82" i="3"/>
  <c r="O81" i="3"/>
  <c r="N81" i="3"/>
  <c r="L81" i="3"/>
  <c r="I81" i="3"/>
  <c r="D81" i="3"/>
  <c r="C81" i="3"/>
  <c r="K81" i="3" s="1"/>
  <c r="B81" i="3"/>
  <c r="O80" i="3"/>
  <c r="N80" i="3"/>
  <c r="L80" i="3"/>
  <c r="I80" i="3"/>
  <c r="D80" i="3"/>
  <c r="C80" i="3"/>
  <c r="K80" i="3" s="1"/>
  <c r="B80" i="3"/>
  <c r="O79" i="3"/>
  <c r="N79" i="3"/>
  <c r="L79" i="3"/>
  <c r="M79" i="3" s="1"/>
  <c r="I79" i="3"/>
  <c r="J79" i="3" s="1"/>
  <c r="G79" i="3"/>
  <c r="F79" i="3"/>
  <c r="E79" i="3"/>
  <c r="D79" i="3"/>
  <c r="C79" i="3"/>
  <c r="B79" i="3"/>
  <c r="O78" i="3"/>
  <c r="N78" i="3"/>
  <c r="L78" i="3"/>
  <c r="I78" i="3"/>
  <c r="D78" i="3"/>
  <c r="C78" i="3"/>
  <c r="B78" i="3"/>
  <c r="O77" i="3"/>
  <c r="N77" i="3"/>
  <c r="L77" i="3"/>
  <c r="I77" i="3"/>
  <c r="F77" i="3"/>
  <c r="E77" i="3"/>
  <c r="D77" i="3"/>
  <c r="C77" i="3"/>
  <c r="B77" i="3"/>
  <c r="O76" i="3"/>
  <c r="N76" i="3"/>
  <c r="L76" i="3"/>
  <c r="I76" i="3"/>
  <c r="D76" i="3"/>
  <c r="C76" i="3"/>
  <c r="B76" i="3"/>
  <c r="O75" i="3"/>
  <c r="N75" i="3"/>
  <c r="L75" i="3"/>
  <c r="M75" i="3" s="1"/>
  <c r="I75" i="3"/>
  <c r="J75" i="3" s="1"/>
  <c r="D75" i="3"/>
  <c r="C75" i="3"/>
  <c r="G75" i="3" s="1"/>
  <c r="B75" i="3"/>
  <c r="O74" i="3"/>
  <c r="N74" i="3"/>
  <c r="L74" i="3"/>
  <c r="I74" i="3"/>
  <c r="D74" i="3"/>
  <c r="C74" i="3"/>
  <c r="G74" i="3" s="1"/>
  <c r="B74" i="3"/>
  <c r="O73" i="3"/>
  <c r="N73" i="3"/>
  <c r="L73" i="3"/>
  <c r="I73" i="3"/>
  <c r="D73" i="3"/>
  <c r="C73" i="3"/>
  <c r="F73" i="3" s="1"/>
  <c r="B73" i="3"/>
  <c r="O72" i="3"/>
  <c r="N72" i="3"/>
  <c r="L72" i="3"/>
  <c r="I72" i="3"/>
  <c r="D72" i="3"/>
  <c r="C72" i="3"/>
  <c r="G72" i="3" s="1"/>
  <c r="B72" i="3"/>
  <c r="O71" i="3"/>
  <c r="N71" i="3"/>
  <c r="L71" i="3"/>
  <c r="I71" i="3"/>
  <c r="D71" i="3"/>
  <c r="C71" i="3"/>
  <c r="G71" i="3" s="1"/>
  <c r="B71" i="3"/>
  <c r="O70" i="3"/>
  <c r="N70" i="3"/>
  <c r="L70" i="3"/>
  <c r="I70" i="3"/>
  <c r="D70" i="3"/>
  <c r="C70" i="3"/>
  <c r="G70" i="3" s="1"/>
  <c r="B70" i="3"/>
  <c r="O69" i="3"/>
  <c r="N69" i="3"/>
  <c r="L69" i="3"/>
  <c r="I69" i="3"/>
  <c r="D69" i="3"/>
  <c r="C69" i="3"/>
  <c r="E69" i="3" s="1"/>
  <c r="B69" i="3"/>
  <c r="O68" i="3"/>
  <c r="N68" i="3"/>
  <c r="L68" i="3"/>
  <c r="I68" i="3"/>
  <c r="D68" i="3"/>
  <c r="C68" i="3"/>
  <c r="G68" i="3" s="1"/>
  <c r="B68" i="3"/>
  <c r="O67" i="3"/>
  <c r="N67" i="3"/>
  <c r="L67" i="3"/>
  <c r="M67" i="3" s="1"/>
  <c r="I67" i="3"/>
  <c r="G67" i="3"/>
  <c r="F67" i="3"/>
  <c r="E67" i="3"/>
  <c r="D67" i="3"/>
  <c r="C67" i="3"/>
  <c r="B67" i="3"/>
  <c r="O66" i="3"/>
  <c r="N66" i="3"/>
  <c r="L66" i="3"/>
  <c r="I66" i="3"/>
  <c r="G66" i="3"/>
  <c r="D66" i="3"/>
  <c r="C66" i="3"/>
  <c r="E66" i="3" s="1"/>
  <c r="B66" i="3"/>
  <c r="O65" i="3"/>
  <c r="N65" i="3"/>
  <c r="M65" i="3"/>
  <c r="L65" i="3"/>
  <c r="I65" i="3"/>
  <c r="D65" i="3"/>
  <c r="C65" i="3"/>
  <c r="F65" i="3" s="1"/>
  <c r="B65" i="3"/>
  <c r="O64" i="3"/>
  <c r="N64" i="3"/>
  <c r="L64" i="3"/>
  <c r="I64" i="3"/>
  <c r="D64" i="3"/>
  <c r="C64" i="3"/>
  <c r="G64" i="3" s="1"/>
  <c r="B64" i="3"/>
  <c r="O63" i="3"/>
  <c r="N63" i="3"/>
  <c r="L63" i="3"/>
  <c r="I63" i="3"/>
  <c r="G63" i="3"/>
  <c r="F63" i="3"/>
  <c r="E63" i="3"/>
  <c r="D63" i="3"/>
  <c r="C63" i="3"/>
  <c r="J63" i="3" s="1"/>
  <c r="B63" i="3"/>
  <c r="O62" i="3"/>
  <c r="N62" i="3"/>
  <c r="L62" i="3"/>
  <c r="I62" i="3"/>
  <c r="E62" i="3"/>
  <c r="D62" i="3"/>
  <c r="C62" i="3"/>
  <c r="B62" i="3"/>
  <c r="O61" i="3"/>
  <c r="N61" i="3"/>
  <c r="L61" i="3"/>
  <c r="I61" i="3"/>
  <c r="F61" i="3"/>
  <c r="E61" i="3"/>
  <c r="D61" i="3"/>
  <c r="C61" i="3"/>
  <c r="B61" i="3"/>
  <c r="O60" i="3"/>
  <c r="N60" i="3"/>
  <c r="L60" i="3"/>
  <c r="I60" i="3"/>
  <c r="D60" i="3"/>
  <c r="C60" i="3"/>
  <c r="B60" i="3"/>
  <c r="O59" i="3"/>
  <c r="N59" i="3"/>
  <c r="L59" i="3"/>
  <c r="I59" i="3"/>
  <c r="G59" i="3"/>
  <c r="F59" i="3"/>
  <c r="E59" i="3"/>
  <c r="D59" i="3"/>
  <c r="C59" i="3"/>
  <c r="B59" i="3"/>
  <c r="O58" i="3"/>
  <c r="N58" i="3"/>
  <c r="L58" i="3"/>
  <c r="I58" i="3"/>
  <c r="D58" i="3"/>
  <c r="C58" i="3"/>
  <c r="B58" i="3"/>
  <c r="O57" i="3"/>
  <c r="N57" i="3"/>
  <c r="L57" i="3"/>
  <c r="I57" i="3"/>
  <c r="F57" i="3"/>
  <c r="E57" i="3"/>
  <c r="D57" i="3"/>
  <c r="C57" i="3"/>
  <c r="B57" i="3"/>
  <c r="O56" i="3"/>
  <c r="N56" i="3"/>
  <c r="L56" i="3"/>
  <c r="I56" i="3"/>
  <c r="G56" i="3"/>
  <c r="D56" i="3"/>
  <c r="C56" i="3"/>
  <c r="B56" i="3"/>
  <c r="O55" i="3"/>
  <c r="N55" i="3"/>
  <c r="L55" i="3"/>
  <c r="M55" i="3" s="1"/>
  <c r="I55" i="3"/>
  <c r="D55" i="3"/>
  <c r="C55" i="3"/>
  <c r="K55" i="3" s="1"/>
  <c r="B55" i="3"/>
  <c r="O54" i="3"/>
  <c r="N54" i="3"/>
  <c r="L54" i="3"/>
  <c r="I54" i="3"/>
  <c r="D54" i="3"/>
  <c r="C54" i="3"/>
  <c r="E54" i="3" s="1"/>
  <c r="B54" i="3"/>
  <c r="O53" i="3"/>
  <c r="N53" i="3"/>
  <c r="L53" i="3"/>
  <c r="I53" i="3"/>
  <c r="E53" i="3"/>
  <c r="D53" i="3"/>
  <c r="C53" i="3"/>
  <c r="M53" i="3" s="1"/>
  <c r="B53" i="3"/>
  <c r="O52" i="3"/>
  <c r="N52" i="3"/>
  <c r="L52" i="3"/>
  <c r="I52" i="3"/>
  <c r="K52" i="3" s="1"/>
  <c r="G52" i="3"/>
  <c r="D52" i="3"/>
  <c r="C52" i="3"/>
  <c r="B52" i="3"/>
  <c r="O51" i="3"/>
  <c r="N51" i="3"/>
  <c r="L51" i="3"/>
  <c r="I51" i="3"/>
  <c r="J51" i="3" s="1"/>
  <c r="D51" i="3"/>
  <c r="C51" i="3"/>
  <c r="G51" i="3" s="1"/>
  <c r="B51" i="3"/>
  <c r="O50" i="3"/>
  <c r="N50" i="3"/>
  <c r="L50" i="3"/>
  <c r="I50" i="3"/>
  <c r="D50" i="3"/>
  <c r="C50" i="3"/>
  <c r="E50" i="3" s="1"/>
  <c r="B50" i="3"/>
  <c r="O49" i="3"/>
  <c r="N49" i="3"/>
  <c r="L49" i="3"/>
  <c r="I49" i="3"/>
  <c r="D49" i="3"/>
  <c r="C49" i="3"/>
  <c r="K49" i="3" s="1"/>
  <c r="B49" i="3"/>
  <c r="O48" i="3"/>
  <c r="N48" i="3"/>
  <c r="L48" i="3"/>
  <c r="I48" i="3"/>
  <c r="D48" i="3"/>
  <c r="C48" i="3"/>
  <c r="G48" i="3" s="1"/>
  <c r="B48" i="3"/>
  <c r="O47" i="3"/>
  <c r="N47" i="3"/>
  <c r="L47" i="3"/>
  <c r="I47" i="3"/>
  <c r="G47" i="3"/>
  <c r="F47" i="3"/>
  <c r="E47" i="3"/>
  <c r="D47" i="3"/>
  <c r="C47" i="3"/>
  <c r="M47" i="3" s="1"/>
  <c r="B47" i="3"/>
  <c r="O46" i="3"/>
  <c r="N46" i="3"/>
  <c r="L46" i="3"/>
  <c r="M46" i="3" s="1"/>
  <c r="I46" i="3"/>
  <c r="E46" i="3"/>
  <c r="D46" i="3"/>
  <c r="C46" i="3"/>
  <c r="B46" i="3"/>
  <c r="O45" i="3"/>
  <c r="N45" i="3"/>
  <c r="L45" i="3"/>
  <c r="I45" i="3"/>
  <c r="F45" i="3"/>
  <c r="E45" i="3"/>
  <c r="D45" i="3"/>
  <c r="C45" i="3"/>
  <c r="B45" i="3"/>
  <c r="O44" i="3"/>
  <c r="N44" i="3"/>
  <c r="L44" i="3"/>
  <c r="I44" i="3"/>
  <c r="D44" i="3"/>
  <c r="C44" i="3"/>
  <c r="B44" i="3"/>
  <c r="O43" i="3"/>
  <c r="N43" i="3"/>
  <c r="L43" i="3"/>
  <c r="I43" i="3"/>
  <c r="J43" i="3" s="1"/>
  <c r="G43" i="3"/>
  <c r="F43" i="3"/>
  <c r="D43" i="3"/>
  <c r="C43" i="3"/>
  <c r="B43" i="3"/>
  <c r="O42" i="3"/>
  <c r="N42" i="3"/>
  <c r="L42" i="3"/>
  <c r="I42" i="3"/>
  <c r="D42" i="3"/>
  <c r="C42" i="3"/>
  <c r="G42" i="3" s="1"/>
  <c r="B42" i="3"/>
  <c r="O41" i="3"/>
  <c r="N41" i="3"/>
  <c r="L41" i="3"/>
  <c r="I41" i="3"/>
  <c r="E41" i="3"/>
  <c r="D41" i="3"/>
  <c r="C41" i="3"/>
  <c r="B41" i="3"/>
  <c r="O40" i="3"/>
  <c r="N40" i="3"/>
  <c r="L40" i="3"/>
  <c r="I40" i="3"/>
  <c r="K40" i="3" s="1"/>
  <c r="G40" i="3"/>
  <c r="D40" i="3"/>
  <c r="C40" i="3"/>
  <c r="B40" i="3"/>
  <c r="O39" i="3"/>
  <c r="N39" i="3"/>
  <c r="L39" i="3"/>
  <c r="I39" i="3"/>
  <c r="G39" i="3"/>
  <c r="D39" i="3"/>
  <c r="C39" i="3"/>
  <c r="F39" i="3" s="1"/>
  <c r="B39" i="3"/>
  <c r="O38" i="3"/>
  <c r="N38" i="3"/>
  <c r="L38" i="3"/>
  <c r="I38" i="3"/>
  <c r="D38" i="3"/>
  <c r="C38" i="3"/>
  <c r="K38" i="3" s="1"/>
  <c r="B38" i="3"/>
  <c r="O37" i="3"/>
  <c r="N37" i="3"/>
  <c r="L37" i="3"/>
  <c r="I37" i="3"/>
  <c r="D37" i="3"/>
  <c r="C37" i="3"/>
  <c r="B37" i="3"/>
  <c r="O36" i="3"/>
  <c r="N36" i="3"/>
  <c r="L36" i="3"/>
  <c r="I36" i="3"/>
  <c r="D36" i="3"/>
  <c r="C36" i="3"/>
  <c r="G36" i="3" s="1"/>
  <c r="B36" i="3"/>
  <c r="O35" i="3"/>
  <c r="N35" i="3"/>
  <c r="L35" i="3"/>
  <c r="I35" i="3"/>
  <c r="D35" i="3"/>
  <c r="C35" i="3"/>
  <c r="G35" i="3" s="1"/>
  <c r="B35" i="3"/>
  <c r="O34" i="3"/>
  <c r="N34" i="3"/>
  <c r="L34" i="3"/>
  <c r="I34" i="3"/>
  <c r="D34" i="3"/>
  <c r="C34" i="3"/>
  <c r="E34" i="3" s="1"/>
  <c r="B34" i="3"/>
  <c r="O33" i="3"/>
  <c r="N33" i="3"/>
  <c r="L33" i="3"/>
  <c r="I33" i="3"/>
  <c r="D33" i="3"/>
  <c r="C33" i="3"/>
  <c r="K33" i="3" s="1"/>
  <c r="B33" i="3"/>
  <c r="O32" i="3"/>
  <c r="N32" i="3"/>
  <c r="L32" i="3"/>
  <c r="I32" i="3"/>
  <c r="D32" i="3"/>
  <c r="C32" i="3"/>
  <c r="B32" i="3"/>
  <c r="O31" i="3"/>
  <c r="N31" i="3"/>
  <c r="L31" i="3"/>
  <c r="I31" i="3"/>
  <c r="J31" i="3" s="1"/>
  <c r="G31" i="3"/>
  <c r="F31" i="3"/>
  <c r="E31" i="3"/>
  <c r="D31" i="3"/>
  <c r="C31" i="3"/>
  <c r="M31" i="3" s="1"/>
  <c r="B31" i="3"/>
  <c r="O30" i="3"/>
  <c r="N30" i="3"/>
  <c r="L30" i="3"/>
  <c r="I30" i="3"/>
  <c r="D30" i="3"/>
  <c r="C30" i="3"/>
  <c r="B30" i="3"/>
  <c r="O29" i="3"/>
  <c r="N29" i="3"/>
  <c r="L29" i="3"/>
  <c r="I29" i="3"/>
  <c r="J29" i="3" s="1"/>
  <c r="F29" i="3"/>
  <c r="E29" i="3"/>
  <c r="D29" i="3"/>
  <c r="C29" i="3"/>
  <c r="B29" i="3"/>
  <c r="O28" i="3"/>
  <c r="N28" i="3"/>
  <c r="L28" i="3"/>
  <c r="I28" i="3"/>
  <c r="D28" i="3"/>
  <c r="C28" i="3"/>
  <c r="B28" i="3"/>
  <c r="O27" i="3"/>
  <c r="N27" i="3"/>
  <c r="L27" i="3"/>
  <c r="I27" i="3"/>
  <c r="G27" i="3"/>
  <c r="F27" i="3"/>
  <c r="E27" i="3"/>
  <c r="D27" i="3"/>
  <c r="C27" i="3"/>
  <c r="B27" i="3"/>
  <c r="O26" i="3"/>
  <c r="N26" i="3"/>
  <c r="L26" i="3"/>
  <c r="I26" i="3"/>
  <c r="D26" i="3"/>
  <c r="C26" i="3"/>
  <c r="G26" i="3" s="1"/>
  <c r="B26" i="3"/>
  <c r="O25" i="3"/>
  <c r="N25" i="3"/>
  <c r="L25" i="3"/>
  <c r="I25" i="3"/>
  <c r="D25" i="3"/>
  <c r="C25" i="3"/>
  <c r="E25" i="3" s="1"/>
  <c r="B25" i="3"/>
  <c r="O24" i="3"/>
  <c r="N24" i="3"/>
  <c r="L24" i="3"/>
  <c r="I24" i="3"/>
  <c r="K24" i="3" s="1"/>
  <c r="G24" i="3"/>
  <c r="D24" i="3"/>
  <c r="C24" i="3"/>
  <c r="B24" i="3"/>
  <c r="O23" i="3"/>
  <c r="N23" i="3"/>
  <c r="L23" i="3"/>
  <c r="M23" i="3" s="1"/>
  <c r="I23" i="3"/>
  <c r="J23" i="3" s="1"/>
  <c r="G23" i="3"/>
  <c r="F23" i="3"/>
  <c r="E23" i="3"/>
  <c r="D23" i="3"/>
  <c r="C23" i="3"/>
  <c r="B23" i="3"/>
  <c r="O22" i="3"/>
  <c r="N22" i="3"/>
  <c r="L22" i="3"/>
  <c r="I22" i="3"/>
  <c r="D22" i="3"/>
  <c r="C22" i="3"/>
  <c r="G22" i="3" s="1"/>
  <c r="B22" i="3"/>
  <c r="O21" i="3"/>
  <c r="N21" i="3"/>
  <c r="L21" i="3"/>
  <c r="I21" i="3"/>
  <c r="D21" i="3"/>
  <c r="C21" i="3"/>
  <c r="E21" i="3" s="1"/>
  <c r="B21" i="3"/>
  <c r="O20" i="3"/>
  <c r="N20" i="3"/>
  <c r="L20" i="3"/>
  <c r="I20" i="3"/>
  <c r="D20" i="3"/>
  <c r="C20" i="3"/>
  <c r="G20" i="3" s="1"/>
  <c r="B20" i="3"/>
  <c r="O19" i="3"/>
  <c r="N19" i="3"/>
  <c r="L19" i="3"/>
  <c r="I19" i="3"/>
  <c r="F19" i="3"/>
  <c r="E19" i="3"/>
  <c r="D19" i="3"/>
  <c r="C19" i="3"/>
  <c r="K19" i="3" s="1"/>
  <c r="B19" i="3"/>
  <c r="O18" i="3"/>
  <c r="N18" i="3"/>
  <c r="L18" i="3"/>
  <c r="I18" i="3"/>
  <c r="D18" i="3"/>
  <c r="C18" i="3"/>
  <c r="E18" i="3" s="1"/>
  <c r="B18" i="3"/>
  <c r="O17" i="3"/>
  <c r="N17" i="3"/>
  <c r="L17" i="3"/>
  <c r="I17" i="3"/>
  <c r="F17" i="3"/>
  <c r="D17" i="3"/>
  <c r="C17" i="3"/>
  <c r="B17" i="3"/>
  <c r="O16" i="3"/>
  <c r="N16" i="3"/>
  <c r="L16" i="3"/>
  <c r="I16" i="3"/>
  <c r="G16" i="3"/>
  <c r="D16" i="3"/>
  <c r="C16" i="3"/>
  <c r="B16" i="3"/>
  <c r="O15" i="3"/>
  <c r="N15" i="3"/>
  <c r="L15" i="3"/>
  <c r="I15" i="3"/>
  <c r="G15" i="3"/>
  <c r="E15" i="3"/>
  <c r="D15" i="3"/>
  <c r="C15" i="3"/>
  <c r="F15" i="3" s="1"/>
  <c r="B15" i="3"/>
  <c r="O14" i="3"/>
  <c r="N14" i="3"/>
  <c r="L14" i="3"/>
  <c r="I14" i="3"/>
  <c r="F14" i="3"/>
  <c r="E14" i="3"/>
  <c r="D14" i="3"/>
  <c r="C14" i="3"/>
  <c r="B14" i="3"/>
  <c r="O13" i="3"/>
  <c r="N13" i="3"/>
  <c r="L13" i="3"/>
  <c r="I13" i="3"/>
  <c r="K13" i="3" s="1"/>
  <c r="D13" i="3"/>
  <c r="C13" i="3"/>
  <c r="B13" i="3"/>
  <c r="O12" i="3"/>
  <c r="N12" i="3"/>
  <c r="L12" i="3"/>
  <c r="I12" i="3"/>
  <c r="G12" i="3"/>
  <c r="F12" i="3"/>
  <c r="D12" i="3"/>
  <c r="C12" i="3"/>
  <c r="B12" i="3"/>
  <c r="O11" i="3"/>
  <c r="N11" i="3"/>
  <c r="L11" i="3"/>
  <c r="I11" i="3"/>
  <c r="E11" i="3"/>
  <c r="D11" i="3"/>
  <c r="C11" i="3"/>
  <c r="F11" i="3" s="1"/>
  <c r="B11" i="3"/>
  <c r="O10" i="3"/>
  <c r="N10" i="3"/>
  <c r="L10" i="3"/>
  <c r="I10" i="3"/>
  <c r="D10" i="3"/>
  <c r="C10" i="3"/>
  <c r="G10" i="3" s="1"/>
  <c r="B10" i="3"/>
  <c r="O9" i="3"/>
  <c r="N9" i="3"/>
  <c r="L9" i="3"/>
  <c r="I9" i="3"/>
  <c r="F9" i="3"/>
  <c r="D9" i="3"/>
  <c r="C9" i="3"/>
  <c r="B9" i="3"/>
  <c r="O8" i="3"/>
  <c r="N8" i="3"/>
  <c r="L8" i="3"/>
  <c r="I8" i="3"/>
  <c r="J8" i="3" s="1"/>
  <c r="F8" i="3"/>
  <c r="D8" i="3"/>
  <c r="C8" i="3"/>
  <c r="G8" i="3" s="1"/>
  <c r="B8" i="3"/>
  <c r="O7" i="3"/>
  <c r="N7" i="3"/>
  <c r="L7" i="3"/>
  <c r="I7" i="3"/>
  <c r="D7" i="3"/>
  <c r="C7" i="3"/>
  <c r="F7" i="3" s="1"/>
  <c r="B7" i="3"/>
  <c r="O6" i="3"/>
  <c r="N6" i="3"/>
  <c r="L6" i="3"/>
  <c r="I6" i="3"/>
  <c r="D6" i="3"/>
  <c r="C6" i="3"/>
  <c r="G6" i="3" s="1"/>
  <c r="B6" i="3"/>
  <c r="J10" i="2"/>
  <c r="C14" i="1" s="1"/>
  <c r="I10" i="2"/>
  <c r="C13" i="1" s="1"/>
  <c r="L8" i="2"/>
  <c r="K8" i="2"/>
  <c r="M8" i="2" s="1"/>
  <c r="J8" i="2"/>
  <c r="K7" i="2"/>
  <c r="M7" i="2" s="1"/>
  <c r="J7" i="2"/>
  <c r="K6" i="2"/>
  <c r="J6" i="2"/>
  <c r="C12" i="1"/>
  <c r="E35" i="3" l="1"/>
  <c r="K17" i="3"/>
  <c r="M19" i="3"/>
  <c r="K30" i="3"/>
  <c r="M49" i="3"/>
  <c r="J55" i="3"/>
  <c r="K62" i="3"/>
  <c r="M63" i="3"/>
  <c r="J87" i="3"/>
  <c r="J91" i="3"/>
  <c r="J97" i="3"/>
  <c r="E70" i="3"/>
  <c r="F81" i="3"/>
  <c r="M83" i="3"/>
  <c r="G90" i="3"/>
  <c r="G100" i="3"/>
  <c r="M15" i="3"/>
  <c r="G19" i="3"/>
  <c r="F35" i="3"/>
  <c r="H35" i="3" s="1"/>
  <c r="E38" i="3"/>
  <c r="K51" i="3"/>
  <c r="M51" i="3"/>
  <c r="G54" i="3"/>
  <c r="E71" i="3"/>
  <c r="K75" i="3"/>
  <c r="J81" i="3"/>
  <c r="E82" i="3"/>
  <c r="H90" i="3"/>
  <c r="E95" i="3"/>
  <c r="E7" i="3"/>
  <c r="H7" i="3" s="1"/>
  <c r="M17" i="3"/>
  <c r="G38" i="3"/>
  <c r="K43" i="3"/>
  <c r="E55" i="3"/>
  <c r="F71" i="3"/>
  <c r="H71" i="3" s="1"/>
  <c r="E83" i="3"/>
  <c r="E87" i="3"/>
  <c r="E91" i="3"/>
  <c r="F95" i="3"/>
  <c r="E51" i="3"/>
  <c r="K54" i="3"/>
  <c r="F55" i="3"/>
  <c r="E75" i="3"/>
  <c r="H75" i="3" s="1"/>
  <c r="F83" i="3"/>
  <c r="F87" i="3"/>
  <c r="F91" i="3"/>
  <c r="G95" i="3"/>
  <c r="G7" i="3"/>
  <c r="H11" i="3"/>
  <c r="J11" i="3" s="1"/>
  <c r="H15" i="3"/>
  <c r="J15" i="3" s="1"/>
  <c r="J19" i="3"/>
  <c r="E22" i="3"/>
  <c r="E39" i="3"/>
  <c r="H39" i="3" s="1"/>
  <c r="G11" i="3"/>
  <c r="E43" i="3"/>
  <c r="F51" i="3"/>
  <c r="G55" i="3"/>
  <c r="F75" i="3"/>
  <c r="G83" i="3"/>
  <c r="G87" i="3"/>
  <c r="G91" i="3"/>
  <c r="J95" i="3"/>
  <c r="J74" i="3"/>
  <c r="F74" i="3"/>
  <c r="E74" i="3"/>
  <c r="K74" i="3"/>
  <c r="H74" i="3"/>
  <c r="E10" i="3"/>
  <c r="H10" i="3" s="1"/>
  <c r="F33" i="3"/>
  <c r="F48" i="3"/>
  <c r="M48" i="3"/>
  <c r="E48" i="3"/>
  <c r="H48" i="3" s="1"/>
  <c r="J48" i="3"/>
  <c r="G53" i="3"/>
  <c r="F53" i="3"/>
  <c r="H53" i="3" s="1"/>
  <c r="K53" i="3"/>
  <c r="F32" i="3"/>
  <c r="M32" i="3"/>
  <c r="E32" i="3"/>
  <c r="J32" i="3"/>
  <c r="G37" i="3"/>
  <c r="F37" i="3"/>
  <c r="K37" i="3"/>
  <c r="F42" i="3"/>
  <c r="E42" i="3"/>
  <c r="H42" i="3" s="1"/>
  <c r="J18" i="3"/>
  <c r="F18" i="3"/>
  <c r="K18" i="3"/>
  <c r="G18" i="3"/>
  <c r="L7" i="2"/>
  <c r="E37" i="3"/>
  <c r="F10" i="3"/>
  <c r="F44" i="3"/>
  <c r="M44" i="3"/>
  <c r="E44" i="3"/>
  <c r="J44" i="3"/>
  <c r="G44" i="3"/>
  <c r="K44" i="3"/>
  <c r="G49" i="3"/>
  <c r="E49" i="3"/>
  <c r="J49" i="3"/>
  <c r="F58" i="3"/>
  <c r="E58" i="3"/>
  <c r="K23" i="3"/>
  <c r="K29" i="3"/>
  <c r="M6" i="2"/>
  <c r="K10" i="2"/>
  <c r="F28" i="3"/>
  <c r="E28" i="3"/>
  <c r="J28" i="3"/>
  <c r="G28" i="3"/>
  <c r="K28" i="3"/>
  <c r="F60" i="3"/>
  <c r="M60" i="3"/>
  <c r="E60" i="3"/>
  <c r="G60" i="3"/>
  <c r="G25" i="3"/>
  <c r="F25" i="3"/>
  <c r="H25" i="3" s="1"/>
  <c r="G33" i="3"/>
  <c r="E33" i="3"/>
  <c r="H33" i="3" s="1"/>
  <c r="J33" i="3"/>
  <c r="G32" i="3"/>
  <c r="J13" i="3"/>
  <c r="G13" i="3"/>
  <c r="E13" i="3"/>
  <c r="M6" i="3"/>
  <c r="E6" i="3"/>
  <c r="F13" i="3"/>
  <c r="G14" i="3"/>
  <c r="H14" i="3" s="1"/>
  <c r="M42" i="3"/>
  <c r="F46" i="3"/>
  <c r="G46" i="3"/>
  <c r="H46" i="3" s="1"/>
  <c r="K46" i="3" s="1"/>
  <c r="F49" i="3"/>
  <c r="G58" i="3"/>
  <c r="L6" i="2"/>
  <c r="L10" i="2" s="1"/>
  <c r="C16" i="1" s="1"/>
  <c r="F26" i="3"/>
  <c r="E26" i="3"/>
  <c r="J30" i="3"/>
  <c r="F30" i="3"/>
  <c r="G30" i="3"/>
  <c r="E30" i="3"/>
  <c r="H30" i="3" s="1"/>
  <c r="M30" i="3" s="1"/>
  <c r="K32" i="3"/>
  <c r="J37" i="3"/>
  <c r="F6" i="3"/>
  <c r="G9" i="3"/>
  <c r="E9" i="3"/>
  <c r="G17" i="3"/>
  <c r="E17" i="3"/>
  <c r="H17" i="3" s="1"/>
  <c r="J17" i="3"/>
  <c r="M18" i="3"/>
  <c r="F20" i="3"/>
  <c r="M20" i="3"/>
  <c r="E20" i="3"/>
  <c r="J20" i="3"/>
  <c r="K20" i="3"/>
  <c r="H20" i="3"/>
  <c r="G21" i="3"/>
  <c r="F21" i="3"/>
  <c r="M33" i="3"/>
  <c r="K48" i="3"/>
  <c r="J53" i="3"/>
  <c r="G65" i="3"/>
  <c r="E65" i="3"/>
  <c r="M74" i="3"/>
  <c r="F34" i="3"/>
  <c r="H34" i="3" s="1"/>
  <c r="F36" i="3"/>
  <c r="H36" i="3" s="1"/>
  <c r="M36" i="3"/>
  <c r="E36" i="3"/>
  <c r="J36" i="3"/>
  <c r="G41" i="3"/>
  <c r="J50" i="3"/>
  <c r="F50" i="3"/>
  <c r="M50" i="3"/>
  <c r="F52" i="3"/>
  <c r="H52" i="3" s="1"/>
  <c r="M52" i="3"/>
  <c r="E52" i="3"/>
  <c r="J52" i="3"/>
  <c r="G57" i="3"/>
  <c r="H57" i="3" s="1"/>
  <c r="F66" i="3"/>
  <c r="H66" i="3" s="1"/>
  <c r="J66" i="3" s="1"/>
  <c r="M66" i="3"/>
  <c r="F68" i="3"/>
  <c r="M68" i="3"/>
  <c r="E68" i="3"/>
  <c r="G73" i="3"/>
  <c r="M73" i="3"/>
  <c r="J82" i="3"/>
  <c r="F82" i="3"/>
  <c r="M82" i="3"/>
  <c r="F84" i="3"/>
  <c r="M84" i="3"/>
  <c r="E84" i="3"/>
  <c r="J84" i="3"/>
  <c r="H89" i="3"/>
  <c r="G89" i="3"/>
  <c r="M89" i="3"/>
  <c r="J98" i="3"/>
  <c r="F98" i="3"/>
  <c r="M98" i="3"/>
  <c r="K8" i="3"/>
  <c r="F16" i="3"/>
  <c r="E73" i="3"/>
  <c r="H73" i="3" s="1"/>
  <c r="F78" i="3"/>
  <c r="M78" i="3"/>
  <c r="F80" i="3"/>
  <c r="M80" i="3"/>
  <c r="E80" i="3"/>
  <c r="J80" i="3"/>
  <c r="H85" i="3"/>
  <c r="G85" i="3"/>
  <c r="M85" i="3"/>
  <c r="J94" i="3"/>
  <c r="F94" i="3"/>
  <c r="M94" i="3"/>
  <c r="F96" i="3"/>
  <c r="M96" i="3"/>
  <c r="E96" i="3"/>
  <c r="J96" i="3"/>
  <c r="E98" i="3"/>
  <c r="J62" i="3"/>
  <c r="F62" i="3"/>
  <c r="M62" i="3"/>
  <c r="F64" i="3"/>
  <c r="M64" i="3"/>
  <c r="E64" i="3"/>
  <c r="H64" i="3" s="1"/>
  <c r="G69" i="3"/>
  <c r="E8" i="3"/>
  <c r="H8" i="3" s="1"/>
  <c r="M8" i="3"/>
  <c r="E12" i="3"/>
  <c r="H12" i="3" s="1"/>
  <c r="E16" i="3"/>
  <c r="H16" i="3" s="1"/>
  <c r="K16" i="3" s="1"/>
  <c r="G34" i="3"/>
  <c r="F41" i="3"/>
  <c r="H41" i="3" s="1"/>
  <c r="G50" i="3"/>
  <c r="F76" i="3"/>
  <c r="M76" i="3"/>
  <c r="E76" i="3"/>
  <c r="E78" i="3"/>
  <c r="G80" i="3"/>
  <c r="H80" i="3" s="1"/>
  <c r="G81" i="3"/>
  <c r="H81" i="3" s="1"/>
  <c r="M81" i="3"/>
  <c r="H82" i="3"/>
  <c r="E85" i="3"/>
  <c r="J90" i="3"/>
  <c r="F90" i="3"/>
  <c r="M90" i="3"/>
  <c r="F92" i="3"/>
  <c r="M92" i="3"/>
  <c r="E92" i="3"/>
  <c r="J92" i="3"/>
  <c r="E94" i="3"/>
  <c r="G96" i="3"/>
  <c r="H97" i="3"/>
  <c r="G97" i="3"/>
  <c r="M97" i="3"/>
  <c r="H98" i="3"/>
  <c r="J73" i="3"/>
  <c r="G78" i="3"/>
  <c r="K84" i="3"/>
  <c r="F85" i="3"/>
  <c r="J89" i="3"/>
  <c r="G94" i="3"/>
  <c r="H96" i="3"/>
  <c r="K36" i="3"/>
  <c r="G62" i="3"/>
  <c r="H62" i="3" s="1"/>
  <c r="F69" i="3"/>
  <c r="F22" i="3"/>
  <c r="F24" i="3"/>
  <c r="M24" i="3"/>
  <c r="E24" i="3"/>
  <c r="H24" i="3" s="1"/>
  <c r="J24" i="3"/>
  <c r="G29" i="3"/>
  <c r="H29" i="3" s="1"/>
  <c r="M29" i="3" s="1"/>
  <c r="K31" i="3"/>
  <c r="J38" i="3"/>
  <c r="F38" i="3"/>
  <c r="M38" i="3"/>
  <c r="F40" i="3"/>
  <c r="M40" i="3"/>
  <c r="E40" i="3"/>
  <c r="H40" i="3" s="1"/>
  <c r="J40" i="3"/>
  <c r="G45" i="3"/>
  <c r="H45" i="3" s="1"/>
  <c r="K50" i="3"/>
  <c r="J54" i="3"/>
  <c r="F54" i="3"/>
  <c r="M54" i="3"/>
  <c r="F56" i="3"/>
  <c r="E56" i="3"/>
  <c r="H56" i="3" s="1"/>
  <c r="J56" i="3" s="1"/>
  <c r="H61" i="3"/>
  <c r="K61" i="3" s="1"/>
  <c r="G61" i="3"/>
  <c r="M61" i="3"/>
  <c r="K63" i="3"/>
  <c r="K66" i="3"/>
  <c r="F70" i="3"/>
  <c r="H70" i="3" s="1"/>
  <c r="K70" i="3" s="1"/>
  <c r="M70" i="3"/>
  <c r="F72" i="3"/>
  <c r="M72" i="3"/>
  <c r="E72" i="3"/>
  <c r="H72" i="3" s="1"/>
  <c r="K72" i="3" s="1"/>
  <c r="J72" i="3"/>
  <c r="K73" i="3"/>
  <c r="G76" i="3"/>
  <c r="G77" i="3"/>
  <c r="H77" i="3" s="1"/>
  <c r="M77" i="3"/>
  <c r="K79" i="3"/>
  <c r="E81" i="3"/>
  <c r="K82" i="3"/>
  <c r="J86" i="3"/>
  <c r="F86" i="3"/>
  <c r="M86" i="3"/>
  <c r="F88" i="3"/>
  <c r="M88" i="3"/>
  <c r="E88" i="3"/>
  <c r="J88" i="3"/>
  <c r="K89" i="3"/>
  <c r="E90" i="3"/>
  <c r="G92" i="3"/>
  <c r="H93" i="3"/>
  <c r="G93" i="3"/>
  <c r="M93" i="3"/>
  <c r="H94" i="3"/>
  <c r="E97" i="3"/>
  <c r="K98" i="3"/>
  <c r="H100" i="3"/>
  <c r="H19" i="3"/>
  <c r="H23" i="3"/>
  <c r="H27" i="3"/>
  <c r="M27" i="3" s="1"/>
  <c r="H31" i="3"/>
  <c r="H43" i="3"/>
  <c r="M43" i="3" s="1"/>
  <c r="H47" i="3"/>
  <c r="J47" i="3" s="1"/>
  <c r="H51" i="3"/>
  <c r="H55" i="3"/>
  <c r="H59" i="3"/>
  <c r="M59" i="3" s="1"/>
  <c r="H63" i="3"/>
  <c r="H67" i="3"/>
  <c r="J67" i="3" s="1"/>
  <c r="H79" i="3"/>
  <c r="H83" i="3"/>
  <c r="H87" i="3"/>
  <c r="H91" i="3"/>
  <c r="H95" i="3"/>
  <c r="H99" i="3"/>
  <c r="J100" i="3"/>
  <c r="K100" i="3"/>
  <c r="E100" i="3"/>
  <c r="M100" i="3"/>
  <c r="J7" i="3" l="1"/>
  <c r="M7" i="3"/>
  <c r="K7" i="3"/>
  <c r="M39" i="3"/>
  <c r="K39" i="3"/>
  <c r="K10" i="3"/>
  <c r="M10" i="3"/>
  <c r="M71" i="3"/>
  <c r="K71" i="3"/>
  <c r="H21" i="3"/>
  <c r="J21" i="3" s="1"/>
  <c r="H37" i="3"/>
  <c r="M37" i="3" s="1"/>
  <c r="K15" i="3"/>
  <c r="M16" i="3"/>
  <c r="H65" i="3"/>
  <c r="K65" i="3" s="1"/>
  <c r="H18" i="3"/>
  <c r="H38" i="3"/>
  <c r="H22" i="3"/>
  <c r="H28" i="3"/>
  <c r="M28" i="3" s="1"/>
  <c r="M56" i="3"/>
  <c r="K56" i="3"/>
  <c r="H50" i="3"/>
  <c r="H54" i="3"/>
  <c r="H58" i="3"/>
  <c r="K58" i="3" s="1"/>
  <c r="H69" i="3"/>
  <c r="M69" i="3" s="1"/>
  <c r="K11" i="3"/>
  <c r="H26" i="3"/>
  <c r="J26" i="3" s="1"/>
  <c r="H32" i="3"/>
  <c r="H78" i="3"/>
  <c r="H13" i="3"/>
  <c r="M13" i="3" s="1"/>
  <c r="H44" i="3"/>
  <c r="H68" i="3"/>
  <c r="H60" i="3"/>
  <c r="K60" i="3" s="1"/>
  <c r="H49" i="3"/>
  <c r="J59" i="3"/>
  <c r="M11" i="3"/>
  <c r="J42" i="3"/>
  <c r="K42" i="3"/>
  <c r="J14" i="3"/>
  <c r="M14" i="3"/>
  <c r="K14" i="3"/>
  <c r="J77" i="3"/>
  <c r="K77" i="3"/>
  <c r="M41" i="3"/>
  <c r="K41" i="3"/>
  <c r="J41" i="3"/>
  <c r="K34" i="3"/>
  <c r="M34" i="3"/>
  <c r="J34" i="3"/>
  <c r="K21" i="3"/>
  <c r="M21" i="3"/>
  <c r="K78" i="3"/>
  <c r="J78" i="3"/>
  <c r="J57" i="3"/>
  <c r="K57" i="3"/>
  <c r="M57" i="3"/>
  <c r="K69" i="3"/>
  <c r="M26" i="3"/>
  <c r="K26" i="3"/>
  <c r="K45" i="3"/>
  <c r="J45" i="3"/>
  <c r="M45" i="3"/>
  <c r="J60" i="3"/>
  <c r="K64" i="3"/>
  <c r="J64" i="3"/>
  <c r="J25" i="3"/>
  <c r="M25" i="3"/>
  <c r="K25" i="3"/>
  <c r="K22" i="3"/>
  <c r="M22" i="3"/>
  <c r="J22" i="3"/>
  <c r="J12" i="3"/>
  <c r="M12" i="3"/>
  <c r="K12" i="3"/>
  <c r="J46" i="3"/>
  <c r="J16" i="3"/>
  <c r="H6" i="3"/>
  <c r="K27" i="3"/>
  <c r="M10" i="2"/>
  <c r="C17" i="1" s="1"/>
  <c r="C15" i="1"/>
  <c r="J70" i="3"/>
  <c r="K47" i="3"/>
  <c r="M35" i="3"/>
  <c r="J35" i="3"/>
  <c r="J10" i="3"/>
  <c r="K35" i="3"/>
  <c r="J27" i="3"/>
  <c r="J61" i="3"/>
  <c r="K67" i="3"/>
  <c r="H76" i="3"/>
  <c r="J39" i="3"/>
  <c r="K59" i="3"/>
  <c r="H9" i="3"/>
  <c r="J71" i="3"/>
  <c r="J69" i="3" l="1"/>
  <c r="J58" i="3"/>
  <c r="M58" i="3"/>
  <c r="J68" i="3"/>
  <c r="K68" i="3"/>
  <c r="J65" i="3"/>
  <c r="K76" i="3"/>
  <c r="J76" i="3"/>
  <c r="K9" i="3"/>
  <c r="J9" i="3"/>
  <c r="M9" i="3"/>
  <c r="J6" i="3"/>
  <c r="K6" i="3"/>
  <c r="E21" i="1" l="1"/>
  <c r="D21" i="1"/>
  <c r="C21" i="1"/>
  <c r="F2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N3" authorId="0" shapeId="0" xr:uid="{00000000-0006-0000-0100-000001000000}">
      <text>
        <r>
          <rPr>
            <sz val="10"/>
            <rFont val="Noto Sans CJK SC"/>
            <family val="2"/>
          </rPr>
          <t xml:space="preserve">파란 글씨 </t>
        </r>
        <r>
          <rPr>
            <sz val="10"/>
            <rFont val="Arial"/>
            <family val="2"/>
          </rPr>
          <t xml:space="preserve">= </t>
        </r>
        <r>
          <rPr>
            <sz val="10"/>
            <rFont val="Noto Sans CJK SC"/>
            <family val="2"/>
          </rPr>
          <t>직접 입력 셀</t>
        </r>
        <r>
          <rPr>
            <sz val="10"/>
            <rFont val="Arial"/>
            <family val="2"/>
          </rPr>
          <t xml:space="preserve">. </t>
        </r>
        <r>
          <rPr>
            <sz val="10"/>
            <rFont val="Noto Sans CJK SC"/>
            <family val="2"/>
          </rPr>
          <t>이 날짜를 바꾸면 기납입</t>
        </r>
        <r>
          <rPr>
            <sz val="10"/>
            <rFont val="Arial"/>
            <family val="2"/>
          </rPr>
          <t>/</t>
        </r>
        <r>
          <rPr>
            <sz val="10"/>
            <rFont val="Noto Sans CJK SC"/>
            <family val="2"/>
          </rPr>
          <t>잔여 보험료가 다시 계산됩니다</t>
        </r>
        <r>
          <rPr>
            <sz val="10"/>
            <rFont val="Arial"/>
            <family val="2"/>
          </rPr>
          <t>.</t>
        </r>
      </text>
    </comment>
  </commentList>
</comments>
</file>

<file path=xl/sharedStrings.xml><?xml version="1.0" encoding="utf-8"?>
<sst xmlns="http://schemas.openxmlformats.org/spreadsheetml/2006/main" count="1109" uniqueCount="691">
  <si>
    <t>고객 정보</t>
  </si>
  <si>
    <t>분석 기준일</t>
  </si>
  <si>
    <t>2026-08-13</t>
  </si>
  <si>
    <t>보고서 작성일</t>
  </si>
  <si>
    <t>2026-08-14</t>
  </si>
  <si>
    <t>자료 출처</t>
  </si>
  <si>
    <t>담당</t>
  </si>
  <si>
    <t>한눈에 보는 요약</t>
  </si>
  <si>
    <t>보유 계약</t>
  </si>
  <si>
    <t>월 납입 보험료</t>
  </si>
  <si>
    <t>기납입 보험료</t>
  </si>
  <si>
    <t>납입 진행률</t>
  </si>
  <si>
    <t>구분</t>
  </si>
  <si>
    <t>충분</t>
  </si>
  <si>
    <t>부족</t>
  </si>
  <si>
    <t>미가입</t>
  </si>
  <si>
    <t>판정대상 합계</t>
  </si>
  <si>
    <t>담보 수</t>
  </si>
  <si>
    <t>① 지켜야 할 것</t>
  </si>
  <si>
    <t>② 가장 큰 공백</t>
  </si>
  <si>
    <t>③ 사망보장 편중</t>
  </si>
  <si>
    <t>④ 운전자보험</t>
  </si>
  <si>
    <t>⑤ 만기 주의</t>
  </si>
  <si>
    <t>기준일 →</t>
  </si>
  <si>
    <t>계약</t>
  </si>
  <si>
    <t>계약일</t>
  </si>
  <si>
    <t>만기일</t>
  </si>
  <si>
    <t>납입
주기</t>
  </si>
  <si>
    <t>납입기간</t>
  </si>
  <si>
    <t>만기연령</t>
  </si>
  <si>
    <t>월 보험료</t>
  </si>
  <si>
    <t>총 납입보험료</t>
  </si>
  <si>
    <t>잔여 보험료</t>
  </si>
  <si>
    <t>월납</t>
  </si>
  <si>
    <t>합 계</t>
  </si>
  <si>
    <t>산출 기준</t>
  </si>
  <si>
    <t>계약③ 주의</t>
  </si>
  <si>
    <t>계약③ 만기</t>
  </si>
  <si>
    <t>자동차보험</t>
  </si>
  <si>
    <t>대분류</t>
  </si>
  <si>
    <t>담보명</t>
  </si>
  <si>
    <t>단위</t>
  </si>
  <si>
    <t>과부족</t>
  </si>
  <si>
    <t>준비
상태</t>
  </si>
  <si>
    <t>트렌드기준
과부족</t>
  </si>
  <si>
    <t>범례</t>
  </si>
  <si>
    <t>가입금액 ≥ 권장금액</t>
  </si>
  <si>
    <t>－</t>
  </si>
  <si>
    <t>권장금액 미설정 → 판정 제외</t>
  </si>
  <si>
    <t>No</t>
  </si>
  <si>
    <t>사망</t>
  </si>
  <si>
    <t>만원</t>
  </si>
  <si>
    <t>손보 계약이므로 상해사망 행으로 집계</t>
  </si>
  <si>
    <t>통원일당</t>
  </si>
  <si>
    <t>실손과 중복되어 최근 축소 추세</t>
  </si>
  <si>
    <t>암</t>
  </si>
  <si>
    <t>중대한 수술비</t>
  </si>
  <si>
    <t>암사망</t>
  </si>
  <si>
    <t>암사망 단독 특약은 희소</t>
  </si>
  <si>
    <t>일반암 진단비</t>
  </si>
  <si>
    <t>암수술비</t>
  </si>
  <si>
    <t>암입원일당</t>
  </si>
  <si>
    <t>상급종합병원 암입원일당 가산형</t>
  </si>
  <si>
    <t>암통원</t>
  </si>
  <si>
    <t>항암치료의 통원 전환으로 통원일당 수요 증가</t>
  </si>
  <si>
    <t>표적항암약물허가치료비</t>
  </si>
  <si>
    <t>특정질환</t>
  </si>
  <si>
    <t>특정질병수술</t>
  </si>
  <si>
    <t>특정질병입원</t>
  </si>
  <si>
    <t>특정질병진단</t>
  </si>
  <si>
    <t>뇌혈관질환 수술비</t>
  </si>
  <si>
    <t>허혈성심장질환 수술비</t>
  </si>
  <si>
    <t>단독 담보에서 통합치료비로 흡수되는 추세</t>
  </si>
  <si>
    <t>뇌</t>
  </si>
  <si>
    <t>뇌혈관 산정특례</t>
  </si>
  <si>
    <t>산정특례 등록 시 별도 진단비 지급 담보 신설 확산</t>
  </si>
  <si>
    <t>심장</t>
  </si>
  <si>
    <t>허혈성 대비 보장범위가 넓은 심혈관질환 진단비로 상향 설계</t>
  </si>
  <si>
    <t>심장 산정특례</t>
  </si>
  <si>
    <t>산정특례 진단비 병행 설계</t>
  </si>
  <si>
    <t>기타</t>
  </si>
  <si>
    <t>골절진단비</t>
  </si>
  <si>
    <t>화상진단비</t>
  </si>
  <si>
    <t>부위 한정 후유장해 담보</t>
  </si>
  <si>
    <t>비급여 주사제 담보</t>
  </si>
  <si>
    <t>간병</t>
  </si>
  <si>
    <t>후유장해</t>
  </si>
  <si>
    <t>고도장해</t>
  </si>
  <si>
    <t>장해연금</t>
  </si>
  <si>
    <t>연금형 장해보장은 생보 중심</t>
  </si>
  <si>
    <t>실손</t>
  </si>
  <si>
    <t>질병입원의료비</t>
  </si>
  <si>
    <t>질병통원의료비</t>
  </si>
  <si>
    <t>상해입원의료비</t>
  </si>
  <si>
    <t>상해통원의료비</t>
  </si>
  <si>
    <t>통원 자기부담 방식이 정액공제 → 본인부담률 연동으로 전환</t>
  </si>
  <si>
    <t>운전자</t>
  </si>
  <si>
    <t>교통사고처리지원금</t>
  </si>
  <si>
    <t>변호사선임비용</t>
  </si>
  <si>
    <t>자동차사고부상치료비</t>
  </si>
  <si>
    <t>중증자동차사고부상</t>
  </si>
  <si>
    <t>교통상해입원일당</t>
  </si>
  <si>
    <t>과실치사상 벌금</t>
  </si>
  <si>
    <t>일반 과실치사상 벌금 담보</t>
  </si>
  <si>
    <t>보철치료비</t>
  </si>
  <si>
    <t>배상</t>
  </si>
  <si>
    <t>화재벌금</t>
  </si>
  <si>
    <t>치아</t>
  </si>
  <si>
    <t>기타 치과치료비</t>
  </si>
  <si>
    <t>여기부터 담보를 추가하세요</t>
  </si>
  <si>
    <t>상품명</t>
  </si>
  <si>
    <t>회사 담보명</t>
  </si>
  <si>
    <t>가입금액</t>
  </si>
  <si>
    <t>비고</t>
  </si>
  <si>
    <t>정액</t>
  </si>
  <si>
    <t>기본계약</t>
  </si>
  <si>
    <t>상해사망후유장해추가담보</t>
  </si>
  <si>
    <t>상해후유장해</t>
  </si>
  <si>
    <t>암진단급여금Ⅱ담보</t>
  </si>
  <si>
    <t>화상진단위로금담보</t>
  </si>
  <si>
    <t>암수술급여금담보</t>
  </si>
  <si>
    <t>골절수술위로금담보</t>
  </si>
  <si>
    <t>화상수술위로금담보</t>
  </si>
  <si>
    <t>암입원급여금담보</t>
  </si>
  <si>
    <t>비운전자</t>
  </si>
  <si>
    <t>가족생활배상책임</t>
  </si>
  <si>
    <t>팔및손가락상해후유장해담보</t>
  </si>
  <si>
    <t>아킬레스힘줄손상수술담보</t>
  </si>
  <si>
    <t>안면부상해흉터성형수술담보</t>
  </si>
  <si>
    <t>외상성척추손상수술담보</t>
  </si>
  <si>
    <t>인공관절수술담보</t>
  </si>
  <si>
    <t>자동차사고치아보철치료비담보</t>
  </si>
  <si>
    <t>비용손해</t>
  </si>
  <si>
    <t>화재벌금담보</t>
  </si>
  <si>
    <t>형사합의금</t>
  </si>
  <si>
    <t>자동차사고 변호사선임비용</t>
  </si>
  <si>
    <t>자기부담금 없는 구약관</t>
  </si>
  <si>
    <t>영구치 보철</t>
  </si>
  <si>
    <t>실손의료비 분석 — 세대 판정 및 전환 검토</t>
  </si>
  <si>
    <t>가입 계약</t>
  </si>
  <si>
    <t>가입일</t>
  </si>
  <si>
    <t>2010-12-23</t>
  </si>
  <si>
    <t>판정 세대</t>
  </si>
  <si>
    <t>자기부담금</t>
  </si>
  <si>
    <t>보장 한도</t>
  </si>
  <si>
    <t>보험기간</t>
  </si>
  <si>
    <t>세대 구분</t>
  </si>
  <si>
    <t>가입 시기</t>
  </si>
  <si>
    <t>가입 한도</t>
  </si>
  <si>
    <t>주요 특징 및 변화</t>
  </si>
  <si>
    <t>비교 항목</t>
  </si>
  <si>
    <t>판단 시 확인할 점</t>
  </si>
  <si>
    <t>보험료</t>
  </si>
  <si>
    <t>급여 자기부담</t>
  </si>
  <si>
    <t>비급여 자기부담</t>
  </si>
  <si>
    <t>비급여 한도</t>
  </si>
  <si>
    <t>비중증 한도 축소가 가장 큰 체감 변화</t>
  </si>
  <si>
    <t>중증 보장</t>
  </si>
  <si>
    <t>신규 보장</t>
  </si>
  <si>
    <t>전환 인센티브</t>
  </si>
  <si>
    <t>해당 없음</t>
  </si>
  <si>
    <t>제도 시행 전이므로 확정 조건을 반드시 확인한 뒤 판단</t>
  </si>
  <si>
    <t>정리</t>
  </si>
  <si>
    <t>관통하는 흐름</t>
  </si>
  <si>
    <t>트렌드</t>
  </si>
  <si>
    <t>항목</t>
  </si>
  <si>
    <t>신OO님 계약의 현재 상태</t>
  </si>
  <si>
    <t>① 암 주요치료비</t>
  </si>
  <si>
    <t>무엇인가</t>
  </si>
  <si>
    <t>왜 필요한가</t>
  </si>
  <si>
    <t>어떻게 지급되나</t>
  </si>
  <si>
    <t>확인할 점</t>
  </si>
  <si>
    <t>뱅크샐러드</t>
  </si>
  <si>
    <t>② 순환계 주요치료비</t>
  </si>
  <si>
    <t>대상이 넓어졌다</t>
  </si>
  <si>
    <t>최신 지급 구조</t>
  </si>
  <si>
    <t>① 치료 항목별 차등 지급 ② 상급종합병원 예약만으로 일부 선지급 ③ 치료기간 생활비 지원 결합 ④ 산정특례 등록 시 별도 진단비 지급 담보 병행</t>
  </si>
  <si>
    <t>③ 정액 수술보험금</t>
  </si>
  <si>
    <t>왜 지금 중요한가</t>
  </si>
  <si>
    <t>숫자로 보면</t>
  </si>
  <si>
    <t>보험저널</t>
  </si>
  <si>
    <t>어떤 담보로 메우나</t>
  </si>
  <si>
    <t>시장 동향</t>
  </si>
  <si>
    <t>한 줄 정리</t>
  </si>
  <si>
    <t>담보군</t>
  </si>
  <si>
    <t>신OO님 계약과의 차이</t>
  </si>
  <si>
    <t>출처</t>
  </si>
  <si>
    <t>만성질환은 인수 거절 사유이거나 담보 자체가 없었음</t>
  </si>
  <si>
    <t>자료</t>
  </si>
  <si>
    <t>링크</t>
  </si>
  <si>
    <t>보장분석 원자료</t>
  </si>
  <si>
    <t>-</t>
  </si>
  <si>
    <t>포맷 기준</t>
  </si>
  <si>
    <t>실손 세대 구분</t>
  </si>
  <si>
    <t>https://www.insweek.co.kr/news/articleView.html?idxno=71493</t>
  </si>
  <si>
    <t>순환계 통합치료비</t>
  </si>
  <si>
    <t>https://dazabi.com/insurance_magazine/article.php?id=25883</t>
  </si>
  <si>
    <t>암보험 트렌드</t>
  </si>
  <si>
    <t>https://dazabi.com/insurance_magazine/article.php?id=20601</t>
  </si>
  <si>
    <t>https://kbthink.com/insurance/trend/5th-generation.html</t>
  </si>
  <si>
    <t>https://tilnote.io/en/pages/69db02566b890bb9dc86f13e</t>
  </si>
  <si>
    <t>간병보험 트렌드</t>
  </si>
  <si>
    <t>https://villagebaby.kr/care/간병보험-완전정리/</t>
  </si>
  <si>
    <t>https://www.insjournal.co.kr/news/articleView.html?idxno=30554</t>
  </si>
  <si>
    <t>정액형 담보 수요</t>
  </si>
  <si>
    <t>https://www.insjournal.co.kr/news/articleView.html?idxno=26340</t>
  </si>
  <si>
    <t>다빈도 수술비 필요성</t>
  </si>
  <si>
    <t>https://www.insjournal.co.kr/news/articleView.html?idxno=29067</t>
  </si>
  <si>
    <t>암주요치료비 상세</t>
  </si>
  <si>
    <t>https://www.banksalad.com/articles/암주요치료비-암치료비보험-항암치료비용</t>
  </si>
  <si>
    <t>순환계 주요치료비</t>
  </si>
  <si>
    <t>https://dazabi.com/insurance_magazine/article.php?id=20298</t>
  </si>
  <si>
    <t>특이사항 정리</t>
  </si>
  <si>
    <t>내용</t>
  </si>
  <si>
    <t>관련 계약</t>
  </si>
  <si>
    <t>확인 시점</t>
  </si>
  <si>
    <t>유지가치</t>
  </si>
  <si>
    <t>계약①</t>
  </si>
  <si>
    <t>상시</t>
  </si>
  <si>
    <t>운전자보험 구약관</t>
  </si>
  <si>
    <t>계약②</t>
  </si>
  <si>
    <t>만기 임박</t>
  </si>
  <si>
    <t>★즉시</t>
  </si>
  <si>
    <t>만기 예정</t>
  </si>
  <si>
    <t>계약③</t>
  </si>
  <si>
    <t>치아보험 갱신 인상</t>
  </si>
  <si>
    <t>갱신 주기마다</t>
  </si>
  <si>
    <t>보장 공백</t>
  </si>
  <si>
    <t>생존 담보 부재</t>
  </si>
  <si>
    <t>전 계약</t>
  </si>
  <si>
    <t>판정 주의</t>
  </si>
  <si>
    <t>해석 시</t>
  </si>
  <si>
    <t>집계 주의</t>
  </si>
  <si>
    <t>중복 집계 방지 처리</t>
  </si>
  <si>
    <t>자료 한계</t>
  </si>
  <si>
    <t>신용정보원 조회 기준</t>
  </si>
  <si>
    <t>전체</t>
  </si>
  <si>
    <t>회사</t>
  </si>
  <si>
    <t>다른 자동차 운전담보</t>
  </si>
  <si>
    <t>신OO님 보장분석 · 제안 보고서</t>
  </si>
  <si>
    <t>성명 / 연령 / 성별</t>
  </si>
  <si>
    <t>신OO / 만 36세 / 여</t>
  </si>
  <si>
    <t>한국신용정보원 집적 계약정보 기반 보장분석 (2026-08-13 13:37:40 조회)</t>
  </si>
  <si>
    <t>앞으로 낼 보험료(잔여)</t>
  </si>
  <si>
    <t>보장 준비상태 집계 (권장금액 설정 담보 기준)</t>
  </si>
  <si>
    <t>핵심 진단 (요약)</t>
  </si>
  <si>
    <t>2010년 가입 실손은 2세대(표준화 이전기)로 자기부담 10%·재가입 조건 없이 100세(2090년)까지 유지됩니다. 현행 5세대 대비 비급여 보장이 넓어 보유 계약 중 가치가 가장 높습니다. → 시트 '6.실손분석' 참고</t>
  </si>
  <si>
    <t>생존 담보가 비어 있습니다. 일반암 1,000만원(권장 1억 대비 -9,000만), 뇌·심장 진단비 전 항목 미가입, 간병·치매 전 항목 미가입.</t>
  </si>
  <si>
    <t>★ 2026 3대 트렌드</t>
  </si>
  <si>
    <t>보험의 무게중심이 '진단금'에서 '치료비'로 옮겨간 15년의 변화가 계약에 전혀 반영되어 있지 않습니다. ① 암 주요치료비 — 수술·항암약물·방사선 치료를 받을 때마다 반복 지급(표적항암제 연 6,000만~1억 2,000만원 대응) → 미보유. ② 순환계 주요치료비 — 검사·수술·혈전용해·ECMO·재활까지 전 과정 포괄, 부정맥·심부전까지 확대 → 미보유(진단비조차 0원). ③ 정액 수술보험금 — 5세대 실손의 비중증 비급여 축소(자기부담 30%→50%, 한도 5,000만→1,000만)로 역할이 커진 담보 → '16대질병수술 100만원' 한정형만 보유. 상세는 시트 '7.3대핵심트렌드' 참고.</t>
  </si>
  <si>
    <t>상해사망 1억 6,000만원은 있으나 질병사망은 0원입니다. 36세 여성 기준 사망원인의 대부분이 질병이라는 점과 어긋납니다.</t>
  </si>
  <si>
    <t>2017년 가입분이라 변호사선임비용의 자기부담금 50%(2026년 개정) 적용을 받지 않는 유리한 약관이지만, 교통사고처리지원금 3,000만원(권장 2억)·변호사선임비용 500만원은 현 시세 대비 크게 부족합니다.</t>
  </si>
  <si>
    <t>치아보험(계약③)은 2034-10-01, 만 44세 만기입니다. 이후 치과보장과 보철치료비 200만원이 함께 소멸합니다. 자동차보험(KB다이렉트)은 2026-08-19 만기로 갱신 시점이 임박했습니다.</t>
  </si>
  <si>
    <t>※ 본 보고서는 고객 요청에 따라 '현황 정리' 중심으로 작성되었습니다. 신규 가입 제안 및 예상 보험료는 포함하지 않았습니다.
※ 권장금액은 KB손해보험 보장분석 기준(기본형 37개 담보 / 표준형)을 따랐습니다.
※ 시트 '4.담보마스터'의 담보명·권장금액·코멘트를 수정하면 '3.보장분석(메인)'에 자동 반영됩니다.</t>
  </si>
  <si>
    <t>계약별 현황 및 보험료 (총 / 기납입 / 잔여)</t>
  </si>
  <si>
    <t>총납입·기납입·잔여 보험료는 '월보험료 × 회차'로 산출한 수식값입니다. 기준일(N3)을 바꾸면 전 시트가 자동 재계산됩니다.</t>
  </si>
  <si>
    <t>회사 / 상품명</t>
  </si>
  <si>
    <t>갱신 여부 / 특이사항</t>
  </si>
  <si>
    <t>① Hi1010 (종합)</t>
  </si>
  <si>
    <t>현대해상
무배당하이라이프퍼펙트패키지보험(Hi1010)2종</t>
  </si>
  <si>
    <t>25년납
(~2035-12-23)</t>
  </si>
  <si>
    <t>100세 만기</t>
  </si>
  <si>
    <t>비갱신(만기까지 확정)
주력 종합보험. 2세대 실손 포함, 100세 만기</t>
  </si>
  <si>
    <t>② Hi1709 (운전자)</t>
  </si>
  <si>
    <t>현대해상
무배당하이카운전자보험(Hi1709)2종기본플랜</t>
  </si>
  <si>
    <t>20년납
(~2037-11-20)</t>
  </si>
  <si>
    <t>80세 만기</t>
  </si>
  <si>
    <t>비갱신
운전자 전용. 2026년 개정 前 약관(변호사비 자기부담금 없음)</t>
  </si>
  <si>
    <t>③ Hi1904 (치아)</t>
  </si>
  <si>
    <t>현대해상
무배당퍼펙트치아보험(갱신형)(Hi1904)기본플랜</t>
  </si>
  <si>
    <t>15년납
(~2034-10-01)</t>
  </si>
  <si>
    <t>44세 만기</t>
  </si>
  <si>
    <t>갱신형(보험료 인상 가능)
전기납 갱신형. 2034.10 만기 후 치과보장 소멸</t>
  </si>
  <si>
    <t>(계약 추가 시 이 행에 입력)</t>
  </si>
  <si>
    <t>월보험료 × 납입 회차. 기납입 회차 = MIN(총 납입회차, 계약일부터 기준일까지 경과 개월수 + 1회).</t>
  </si>
  <si>
    <t>치아보험은 갱신형이므로 갱신 시 보험료가 오릅니다. 위 총납입·잔여 보험료는 '현재 보험료가 만기까지 유지된다'는 가정의 최소 추정치입니다. 실제 총액은 이보다 커집니다.</t>
  </si>
  <si>
    <t>2034-10-01(만 44세) 만기 = 납입만기와 동일한 전기납 구조입니다. 만기 후 치과보장은 소멸합니다.</t>
  </si>
  <si>
    <t>KB다이렉트개인용(2025-08-19~2026-08-19)은 신용정보원 조회분으로 위 3건과 별개입니다. 시트 '9.특이사항' 참고.</t>
  </si>
  <si>
    <t>신OO님 담보별 보장분석 (보장분석24 포맷 기준)</t>
  </si>
  <si>
    <t>담보명·권장금액·트렌드·코멘트는 '4.담보마스터'에서, 계약별 가입금액은 '5.담보원장'에서 자동으로 가져옵니다. 금액 단위: 만원(일당은 만원/일).</t>
  </si>
  <si>
    <t>↓ 계약번호(수식 참조용)</t>
  </si>
  <si>
    <t>합계
(가입금액)</t>
  </si>
  <si>
    <t>권장금액
(KB기준)</t>
  </si>
  <si>
    <t>2026 시장통용
설계수준</t>
  </si>
  <si>
    <t>최근 담보유형 (2026년 트렌드) 비교</t>
  </si>
  <si>
    <t>특이사항 / 코멘트</t>
  </si>
  <si>
    <t>0 &lt; 가입금액 &lt; 권장금액</t>
  </si>
  <si>
    <t>가입금액 0원</t>
  </si>
  <si>
    <t>※ 권장금액 출처: KB손해보험 보장분석 기준(기본담보 37개 / 표준형). ※ 주황색 '2026 시장통용 설계수준'은 KB 권장금액과 별개로, 2026년 8월 현재 시장에서 통용되는 설계 수준을 벤치마크로 표기한 것입니다(가입 권유 아님). 준비상태(충분/부족/미가입) 판정은 KB 권장금액 기준으로만 산출됩니다. ※ 노란색 강조 3개 담보(암주요치료비 · 순환계 통합치료비 · 정액 수술비)는 시트 '7.3대 핵심트렌드' 참고.</t>
  </si>
  <si>
    <t>담보마스터 (구분 · 담보명 · 권장금액 · 최신 트렌드 · 코멘트)</t>
  </si>
  <si>
    <t>★ 이 시트가 '3.보장분석(메인)'의 원본입니다. 여기서 담보를 추가·수정·삭제하면 메인 시트에 그대로 반영됩니다.</t>
  </si>
  <si>
    <t>담보명(표준)</t>
  </si>
  <si>
    <t>권장금액
(KB기준, 만원)</t>
  </si>
  <si>
    <t>2026 시장통용
설계수준(만원)</t>
  </si>
  <si>
    <t>최근 담보유형 (2026년 트렌드)</t>
  </si>
  <si>
    <t>일반(종신)사망</t>
  </si>
  <si>
    <t>종신사망 자체는 정체. 사망보험금 유동화(연금·요양비 전환) 제도 도입으로 활용도 재조명</t>
  </si>
  <si>
    <t>미가입. 손보 종합보험에는 통상 미탑재 — 필요 시 생보 종신/정기로 보완 영역</t>
  </si>
  <si>
    <t>질병(정기)사망</t>
  </si>
  <si>
    <t>80세·90세 만기 정기형 질병사망이 주류. 종신형 대비 보험료 1/3 수준</t>
  </si>
  <si>
    <t>미가입 (권장 1억 대비 -1억). 현재 사망보장은 '상해'에만 존재</t>
  </si>
  <si>
    <t>재해(정기)사망</t>
  </si>
  <si>
    <t>생보 재해사망 개념. 손보는 '상해사망'으로 대체 표기</t>
  </si>
  <si>
    <t>상해(정기)사망</t>
  </si>
  <si>
    <t>상해사망 + 교통상해사망 + 대중교통이용중 상해사망으로 세분화 설계</t>
  </si>
  <si>
    <t>계약① 기본계약 1,000만 + 상해사망후유장해추가 1억 5,000만 = 1억 6,000만 (권장 2억 대비 -4,000만)</t>
  </si>
  <si>
    <t>수술·입원</t>
  </si>
  <si>
    <t>수술비-질병(1~5종)</t>
  </si>
  <si>
    <t>★★★2026 3대 핵심 트렌드 ③. 5세대 실손(2026.5.6~)의 비중증 비급여 축소로 정액 수술비의 역할이 커졌습니다. 비중증 비급여 자기부담 30% → 50%, 연간 한도 5,000만 → 1,000만, 통원 1회 20만·병의원 입원 1회 300만 제한 신설. 정액 수술비는 급여·비급여를 따지지 않고 수술확인서만으로 정액 지급되며 반복 청구가 가능해 이 공백을 메웁니다. 1~5종 종수술비(5종 기준 500~1,000만원)가 표준이며, DB손보 '반값 종수술비' 등 판매 경쟁 진행 중</t>
  </si>
  <si>
    <t>★미가입 — 최우선 검토 대상. 계약①은 '16대질병수술 100만원' 한정형만 있어, 16대에 들어가지 않는 수술은 정액 보험금이 0원입니다. 예: 비중증 수술비 300만원 발생 시 5세대 실손 기준 본인부담이 90만원 → 150만원으로 늘어나는데, 신OO님은 2세대 실손이라 실손 쪽 방어는 유리하나 '실손이 아예 안 되는 항목·초과분'은 정액 수술비로만 메울 수 있습니다</t>
  </si>
  <si>
    <t>수술비-N대질병</t>
  </si>
  <si>
    <t>N대 범위 확대(16대 → 38대·61대·105대). 다만 최근에는 질병군을 한정하지 않는 1~5종 종수술비 + 질병통합치료비 조합으로 무게중심이 이동</t>
  </si>
  <si>
    <t>계약① 16대질병수술 100만원. 2010년 약관 기준이라 질병군 범위가 좁고, '16대에 해당하는지'를 매번 따져야 하는 한정형 구조입니다</t>
  </si>
  <si>
    <t>수술비-재해(상해)</t>
  </si>
  <si>
    <t>상해 1~5종 종수술비 + 부위별 특정상해수술 병행 설계가 표준. 정액형이라 급여·비급여 구분 없이 지급되며, 5세대 실손 축소의 대안 담보로 함께 거론됨</t>
  </si>
  <si>
    <t>미가입. 계약②는 관절·인대·척추 등 부위별 특정상해수술만 보유해 해당 부위가 아닌 상해수술은 정액 보험금이 0원입니다</t>
  </si>
  <si>
    <t>질병통합치료비(검사·시술·수술 포괄)</t>
  </si>
  <si>
    <t>★2026 신설 트렌드 담보. 검사 → 시술 → 수술 → 중증치료를 하나로 묶어 정액 지급하는 확장형 담보. 5세대 실손의 통원·외래 부담 증가에 대응하는 대안으로 수술비와 함께 급부상. 메리츠·KB손보·하나손보 등 판매</t>
  </si>
  <si>
    <t>미가입. 수술 단계만 보는 수술비보다 앞단(검사·시술)까지 포괄해 실손 축소분을 넓게 메우는 구조</t>
  </si>
  <si>
    <t>입원일당-질병</t>
  </si>
  <si>
    <t>만원/일</t>
  </si>
  <si>
    <t>상급종합병원 가산형·중환자실 가산형 확산. 기본 3만 + 상급종합 추가 3만 구조</t>
  </si>
  <si>
    <t>계약① 2만 (권장 3만 대비 -1만)</t>
  </si>
  <si>
    <t>입원일당-N대질병</t>
  </si>
  <si>
    <t>4대성인병 → 15대·31대 성인질환으로 대상 확대</t>
  </si>
  <si>
    <t>계약① 4대성인병 1만 + 5대만성질병 1만 = 2만</t>
  </si>
  <si>
    <t>입원일당-재해(상해)</t>
  </si>
  <si>
    <t>상해입원일당은 1일차부터 지급이 표준화</t>
  </si>
  <si>
    <t>계약① 2만 (권장 3만 대비 -1만). 계약② 교통상해입원일당 1만 별도</t>
  </si>
  <si>
    <t>CI(중대질병)진단자금</t>
  </si>
  <si>
    <t>CI형은 지급요건이 엄격해 축소. GI형·일반진단비형이 주류</t>
  </si>
  <si>
    <t>CI 계열 담보. 신규 판매 축소</t>
  </si>
  <si>
    <t>★진단금 일시금 → '치료 전 과정 보장'으로 이동. 치료예약 확정 시 선지급(초기 50% → 현재 70%) 구조 확산</t>
  </si>
  <si>
    <t>★계약① 1,000만 (권장 1억 대비 -9,000만) — 전체 담보 중 최대 공백. 2010년 가입분으로 재진단암·고액암 없음</t>
  </si>
  <si>
    <t>로봇수술·중입자치료 등 고액 비급여 수술을 별도 담보로 분리</t>
  </si>
  <si>
    <t>계약① 100만 (권장 300만 대비 -200만)</t>
  </si>
  <si>
    <t>계약① 5만</t>
  </si>
  <si>
    <t>만원/회</t>
  </si>
  <si>
    <t>고액암(특정암)</t>
  </si>
  <si>
    <t>고액암 범위 확대(백혈병·뇌암·골수암·췌장암 등)</t>
  </si>
  <si>
    <t>미가입 (-5,000만)</t>
  </si>
  <si>
    <t>유사암(소액암)</t>
  </si>
  <si>
    <t>유사암 한도 상향(1,000만 → 2,000만 이상). 여성 갑상선암 발생 비중이 높아 실효성 큼</t>
  </si>
  <si>
    <t>미가입 (-2,000만). 36세 여성 기준 발생빈도 1순위 영역</t>
  </si>
  <si>
    <t>표적·면역항암 치료비를 별도 담보화, 연간 반복지급형(1년 1회 한)</t>
  </si>
  <si>
    <t>미가입 (-3,000만). 타그리소 4주 600만원 등 고액 비급여 대응 불가</t>
  </si>
  <si>
    <t>항암방사선·약물치료비</t>
  </si>
  <si>
    <t>회차별 증가형(치료 반복 시 지급액 증액) 신설 — 흥국화재 5대질병 통합치료지원비 최대 1,000만</t>
  </si>
  <si>
    <t>양성자/호르몬/세기조절</t>
  </si>
  <si>
    <t>중입자·양성자 치료비 별도 담보화</t>
  </si>
  <si>
    <t>암주요치료비(비급여 포함)</t>
  </si>
  <si>
    <t>★★★2026 3대 핵심 트렌드 ①. 2024년 2월 삼성화재를 시작으로 전 손보사 확산. '진단 시 한 번'이 아니라 수술·항암약물치료·항암방사선치료 등 실제 치료행위를 받을 때마다 반복 지급. 표적항암제(연 6,000만~1억 2,000만원), 중입자치료(1코스 5,000만~8,000만원), 로봇수술 등 고액 비급여를 직접 보전. 치료예약 확정 시 선지급(초기 50% → 현재 70%). DB손보 최대 1억 2,000만원 / 비급여 암치료비 최대 8,000만원. 현재는 정액형만 판매(2024년 11월 비례형 중단). 시장 통용 설계 3,000만원 내외</t>
  </si>
  <si>
    <t>★미가입 — 최우선 검토 대상. 계약①의 암 담보는 진단 1,000만·수술 100만·입원일당 5만이 전부로, '치료 단계'를 보전하는 담보가 하나도 없습니다. 실손(2세대)이 급여 치료비는 막아주지만 표적항암제·중입자치료 같은 비급여 고액치료는 실손 한도로 감당되지 않습니다. 가입 시 병원등급 기준(종합병원 / 암종합치료기관 / 상급종합병원 중 어디까지 인정하는지)을 반드시 확인해야 합니다</t>
  </si>
  <si>
    <t>16대 → N대 확대. 아래 '수술비-N대질병' 행으로 집계</t>
  </si>
  <si>
    <t>계약① 16대질병수술 100만은 '수술비-N대질병' 행에 집계(중복 방지)</t>
  </si>
  <si>
    <t>성인질환 입원일당은 '입원일당-N대질병' 행으로 집계</t>
  </si>
  <si>
    <t>계약① 2만은 '입원일당-N대질병' 행에 집계(중복 방지)</t>
  </si>
  <si>
    <t>생활질환(고혈압·당뇨·고지혈) 통합보장으로 진화 — 흥국화재 7종 세분화, 롯데손보 고당지 3·6·10</t>
  </si>
  <si>
    <t>수술비 → 주요치료비 → 순환계 통합치료비로 3단계 진화</t>
  </si>
  <si>
    <t>미가입 (-1,000만)</t>
  </si>
  <si>
    <t>스텐트삽입술·관상동맥우회술 고액화(관상동맥우회술 건당 3,440만원)</t>
  </si>
  <si>
    <t>혈전용해제(혈전용해치료비)</t>
  </si>
  <si>
    <t>뇌·심 주요치료비 / 순환계 통합치료비</t>
  </si>
  <si>
    <t>★★★2026 3대 핵심 트렌드 ②. 진단비 → 주요치료비 → 순환계 통합치료비의 3단계 진화. ① 대상 확대: 뇌혈관·허혈성심장 2대 질병 → 부정맥·심부전·판막질환 등 순환계 전반(라이나생명 62개 질병코드) ② 지급 사유 확대: MRI·PET·CT 검사, 수술, 혈전용해치료·혈전제거술, 인공호흡기·ECMO, 중환자실 치료, 항응고/항혈소판 주사, 전문재활치료까지 치료 전 과정 ③ 치료 항목별 차등 지급 + 상급종합병원 예약만으로 일부 선지급 ④ 치료기간 소득공백 보전용 생활비 지원 결합. 시장 통용 설계 2,000만원 내외</t>
  </si>
  <si>
    <t>★미가입 — 최우선 검토 대상. 신OO님은 뇌·심장 담보가 진단비 단계조차 0원이라, 최신 통합치료비 구조와는 비교 자체가 성립하지 않는 상태입니다. 60대 사망원인 2위 심장질환(33,715명)·3위 뇌혈관질환(25,420명), 관상동맥우회술 건당 3,440만원·뇌기저부수술 2,035만원을 감안하면 진단비 + 통합치료비를 함께 보는 것이 현재 시장 표준입니다</t>
  </si>
  <si>
    <t>5대장기이식술</t>
  </si>
  <si>
    <t>조혈모세포이식 2,000~3,000만 등 이식 관련 담보 확대</t>
  </si>
  <si>
    <t>뇌혈관질환(100%)</t>
  </si>
  <si>
    <t>진단비(기본) + 통합치료비 결합 설계가 표준. 산정특례 진단비 병행</t>
  </si>
  <si>
    <t>미가입 (-3,000만)</t>
  </si>
  <si>
    <t>뇌졸중(77%)</t>
  </si>
  <si>
    <t>뇌출혈 500~2,000만 / 뇌경색 200~1,000만. 뇌경색 감액 약관 주의</t>
  </si>
  <si>
    <t>뇌출혈(16%)</t>
  </si>
  <si>
    <t>후유장해 50% 이상 시 추가 1,000~2,000만 지급형 확산</t>
  </si>
  <si>
    <t>심혈관질환(100%)</t>
  </si>
  <si>
    <t>허혈성심장질환(85%)</t>
  </si>
  <si>
    <t>60대 사망원인 2위(심장질환 33,715명). 진단비 + 통합치료비 결합</t>
  </si>
  <si>
    <t>급성심근경색증(8%)</t>
  </si>
  <si>
    <t>급심 단독보다 허혈성/심혈관 상위담보 우선 설계 권장</t>
  </si>
  <si>
    <t>치아파절 포함형으로 확대, 깁스치료비·부목 별도 담보화</t>
  </si>
  <si>
    <t>계약① 30만 + 계약② 50만 = 80만 (권장 100만 대비 -20만)</t>
  </si>
  <si>
    <t>중증(심재성 2도 이상)화상 2,000만 별도 담보</t>
  </si>
  <si>
    <t>계약① 50만</t>
  </si>
  <si>
    <t>골절·화상 수술비</t>
  </si>
  <si>
    <t>인공관절수술 100만, 깁스 10만 등 세분화</t>
  </si>
  <si>
    <t>계약① 골절수술 60만 + 화상수술 100만</t>
  </si>
  <si>
    <t>특정상해수술(부위별 합계)</t>
  </si>
  <si>
    <t>부위별 특정상해수술은 운전자·상해보험의 표준 구성</t>
  </si>
  <si>
    <t>계약② 관절30/뇌·내장100/무릎인대30/아킬레스50/안면흉터성형200/외상성척추50/인공관절100 — 부위별 개별 담보로 1사고 합산지급 아님</t>
  </si>
  <si>
    <t>특정부위(팔·손가락) 상해후유장해</t>
  </si>
  <si>
    <t>계약② 1,000만. 부위 한정이므로 일반 상해후유장해와 별도 집계</t>
  </si>
  <si>
    <t>중환자실·응급실 일당</t>
  </si>
  <si>
    <t>중환자실 15~20만/일(30~60일), 상급병실 10~15만/일 트렌드</t>
  </si>
  <si>
    <t>기타 질환(양성뇌종양·특정전염병 등)</t>
  </si>
  <si>
    <t>만성질환 통합보장 및 유병자 인수기준 완화(입원·수술 확인기간 5년 → 2년)</t>
  </si>
  <si>
    <t>근골격계 비급여 정액담보(도수·체외충격파·증식)</t>
  </si>
  <si>
    <t>5세대에서 3대 비급여(도수·비급여주사·MRI) 보장 제외 방안이 추진되면서 별도 정액담보로 분리 판매되는 추세</t>
  </si>
  <si>
    <t>별도 특약 없음. 다만 신OO님의 2세대 실손은 3대 비급여가 기본 보장에 포함(자기부담 10%)되어 현재로서는 이 담보의 필요성이 낮습니다 — 2세대를 유지할 이유가 하나 더 있는 셈</t>
  </si>
  <si>
    <t>5세대 비중증 비급여 자기부담 50%·연 1,000만 한도 적용 대상. 별도 정액담보 분리 판매 확산</t>
  </si>
  <si>
    <t>별도 특약 없음. 2세대 실손 기본 보장에 포함(자기부담 10%)</t>
  </si>
  <si>
    <t>간병인사용일당(상해)</t>
  </si>
  <si>
    <t>간병인 실제비용 10~15만원/일 → 7~10만원/일 이상 설정 권장. 간병도우미료 물가 전년비 13% 상승</t>
  </si>
  <si>
    <t>미가입 (-25만)</t>
  </si>
  <si>
    <t>간병인사용일당(질병)</t>
  </si>
  <si>
    <t>간호·간병통합서비스 병행형 상품 확산</t>
  </si>
  <si>
    <t>장기요양(1~5등급) 간병비</t>
  </si>
  <si>
    <t>등급별 차등지급, 5등급·인지지원등급까지 보장 확대</t>
  </si>
  <si>
    <t>경증치매(CDR1) 진단비</t>
  </si>
  <si>
    <t>CDR1 500~1,000만 / CDR2 1,000~2,000만 / CDR3 2,000~3,000만. 신경인지기능 종합검사비 지원, 아밀로이드 베타 표적치료제 회차별 치료비 신설(하나손보)</t>
  </si>
  <si>
    <t>미가입 (-1억). 일부 약관은 CDR2부터 지급하므로 CDR1 보장 여부 확인 필요</t>
  </si>
  <si>
    <t>질병후유장해(80%미만)</t>
  </si>
  <si>
    <t>질병 3% 이상 후유장해 비례보상형 확대</t>
  </si>
  <si>
    <t>미가입 (-1억)</t>
  </si>
  <si>
    <t>상해후유장해(80%미만)</t>
  </si>
  <si>
    <t>상해 3% 이상 비례보상이 표준</t>
  </si>
  <si>
    <t>계약① 1,000만 + 1억 5,000만 = 1억 6,000만 (권장 1억 대비 +6,000만) — 충분</t>
  </si>
  <si>
    <t>80% 이상 고도장해는 사망보험금과 동일 지급이 일반적</t>
  </si>
  <si>
    <t>만원/년</t>
  </si>
  <si>
    <t>5세대(2026.5.6~): 급여 연 5,000만 / 중증비급여 연 5,000만 / 비중증비급여 연 1,000만. 급여 입원 자기부담 20%, 비중증 비급여 입원 자기부담 50%. 축소된 비중증 영역은 정액 수술비·질병통합치료비로 보완하는 것이 2026년 시장 흐름</t>
  </si>
  <si>
    <t>★계약① 2세대(표준화 이전기) 5,000만 — 자기부담 10%, 재가입 조건 없이 100세(2090년)까지 유지. 5세대 대비 압도적으로 유리하므로 유지가치 매우 높음</t>
  </si>
  <si>
    <t>5세대는 통원 1회당 20만원 한도, 급여 통원은 건강보험 본인부담률과 연동(상급종합 이용 시 부담 증가)</t>
  </si>
  <si>
    <t>계약① 외래의료비 25만 + 처방조제료 5만 = 30만</t>
  </si>
  <si>
    <t>5세대 병의원 입원 1회당 300만원 제한 신설</t>
  </si>
  <si>
    <t>계약① 상해+질병 입원의료비 5,000만 (질병입원과 동일 담보)</t>
  </si>
  <si>
    <t>3대비급여(도수·주사·MRI)</t>
  </si>
  <si>
    <t>3세대부터 특약 분리(자기부담 30%), 5세대는 비중증 비급여로 분류되어 자기부담 50%·연 1,000만 한도</t>
  </si>
  <si>
    <t>별도 특약 없음. 단 2세대는 3대비급여가 기본 보장에 포함(자기부담 10%)되어 실질 보장은 오히려 우위 — '미가입'으로 보이나 실질 공백 아님</t>
  </si>
  <si>
    <t>벌금(대인/스쿨존/대물)</t>
  </si>
  <si>
    <t>대인 3,000만(어린이보호구역 포함)·대물 500만이 최신 표준. 위험운전치상 벌금 700~1,500만 가능</t>
  </si>
  <si>
    <t>계약② 2,000만 (권장 3,000만 대비 -1,000만). 2017년 약관으로 대물벌금 미탑재</t>
  </si>
  <si>
    <t>★2억~2.5억 권장. 2025년 개정으로 어린이집·유치원·초등학교 시설 내 어린이 사고가 12대 중과실에 추가</t>
  </si>
  <si>
    <t>★계약② 3,000만 (권장 2억 대비 -1억 7,000만) — 운전자보험 최대 공백</t>
  </si>
  <si>
    <t>★2026년 개정: 심급별 최대 500만·총 1,500만 + 자기부담금 50% 신설(신규 가입분)</t>
  </si>
  <si>
    <t>계약② 500만. 2017년 약관이라 자기부담금 없는 유리한 조건이나 절대 한도가 부족</t>
  </si>
  <si>
    <t>부상등급 1~14급 차등, 14급(단순 타박)도 약 30만원 지급형 확산</t>
  </si>
  <si>
    <t>계약① 10만(비운전자) + 계약② 20만(운전자) = 30만 — 충분</t>
  </si>
  <si>
    <t>중상해(1~3급) 고액 보장 담보 확대</t>
  </si>
  <si>
    <t>계약② 1,000만</t>
  </si>
  <si>
    <t>자동차 운전 중 상해 입원 1~180일 한정형</t>
  </si>
  <si>
    <t>계약② 1만</t>
  </si>
  <si>
    <t>계약② 700만</t>
  </si>
  <si>
    <t>자동차사고 치아보철(영구치) 보장. 치아보험과 별개</t>
  </si>
  <si>
    <t>계약② 5만 + 계약③ 200만 = 205만 — 충분. 단 계약③은 2034.10 만기 후 소멸(→ 5만만 잔존)</t>
  </si>
  <si>
    <t>가족/일상/자녀 배상책임</t>
  </si>
  <si>
    <t>1억 한도 표준, 자기부담금 2만원. 자전거·반려동물 사고 포함</t>
  </si>
  <si>
    <t>계약① 1억 — 충분</t>
  </si>
  <si>
    <t>실화·중과실 화재 벌금 2,000만 표준</t>
  </si>
  <si>
    <t>계약② 2,000만 — 충분</t>
  </si>
  <si>
    <t>치아보존치료(충전·인레이 등)</t>
  </si>
  <si>
    <t>갱신형 치아보험은 통상 만기가 짧고 면책·감액기간(90일/50%) 존재</t>
  </si>
  <si>
    <t>계약③ 40만. 2034-10-01(44세) 만기 후 보장 종료</t>
  </si>
  <si>
    <t>치주치료·스케일링·발치 등 소액 다빈도 보장</t>
  </si>
  <si>
    <t>계약③ 주요치주질환 3만 / 영구치발치 10만 / 스케일링 1만 / 치수치료 3만 / 치아촬영 1만 (건별 지급)</t>
  </si>
  <si>
    <t>(추가)</t>
  </si>
  <si>
    <t>사용법: ① 담보를 추가하려면 위 빈 행(회색)에 대분류·담보명·단위·권장금액을 입력하세요. ② 담보명은 '5.담보원장'의 표준담보명과 글자가 정확히 일치해야 가입금액이 합산됩니다. ③ 권장금액을 비워두면 과부족 판정에서 제외됩니다. ④ 담보 20개를 초과해 추가하려면 '3.보장분석(메인)'의 마지막 행을 복사해 아래로 붙여넣으세요.</t>
  </si>
  <si>
    <t>담보원장 (가입설계서 원문 담보 → 표준담보명 매핑)</t>
  </si>
  <si>
    <t>가입설계서(보장분석 PDF)의 회사 담보명을 한 줄씩 옮기고 표준담보명으로 매핑했습니다. 이 시트의 금액이 '3.보장분석(메인)'에 합산됩니다.</t>
  </si>
  <si>
    <t>계약
No</t>
  </si>
  <si>
    <t>표준담보명(→담보마스터와 일치)</t>
  </si>
  <si>
    <t>유사암·고액암 구분 없음</t>
  </si>
  <si>
    <t>골절(치아파절제외)진단위로금담보</t>
  </si>
  <si>
    <t>16대질병수술급여금담보</t>
  </si>
  <si>
    <t>신정원 매핑: 특정질병수술</t>
  </si>
  <si>
    <t>질병입원급여금(1일이상)담보</t>
  </si>
  <si>
    <t>1일 이상</t>
  </si>
  <si>
    <t>4대성인병입원급여금담보</t>
  </si>
  <si>
    <t>5대만성질병입원급여금담보</t>
  </si>
  <si>
    <t>상해입원급여금(1일이상)담보</t>
  </si>
  <si>
    <t>자동차사고부상위로금(비운전자)담보</t>
  </si>
  <si>
    <t>상해(일반상해,전체상해) 처방조제료</t>
  </si>
  <si>
    <t>2세대 실손</t>
  </si>
  <si>
    <t>상해(일반상해,전체상해) 외래의료비</t>
  </si>
  <si>
    <t>질병(전체질병) 처방조제료</t>
  </si>
  <si>
    <t>질병(전체질병) 외래의료비</t>
  </si>
  <si>
    <t>상해+질병 입원의료비</t>
  </si>
  <si>
    <t>상해·질병 공통 1개 담보</t>
  </si>
  <si>
    <t>자기부담금 2만원</t>
  </si>
  <si>
    <t>신정원 매핑: 특정교통상해사망</t>
  </si>
  <si>
    <t>골절진단(치아파절제외)담보</t>
  </si>
  <si>
    <t>관절(무릎·고관절)수술담보</t>
  </si>
  <si>
    <t>뇌·내장손상수술담보</t>
  </si>
  <si>
    <t>무릎인대파열/연골손상수술담보</t>
  </si>
  <si>
    <t>교통상해입원일당(1~180일, 자동차운전중)담보</t>
  </si>
  <si>
    <t>자동차사고부상(운전자)담보</t>
  </si>
  <si>
    <t>중증자동차사고부상(운전자)담보</t>
  </si>
  <si>
    <t>교통사고 벌금(대인)</t>
  </si>
  <si>
    <t>치아보존치료(갱신형)담보</t>
  </si>
  <si>
    <t>치아보철치료(갱신형)Ⅰ담보</t>
  </si>
  <si>
    <t>기본계약(주요치주질환치료(갱신형))</t>
  </si>
  <si>
    <t>영구치발치치료(갱신형)담보</t>
  </si>
  <si>
    <t>치석제거(스케일링)(갱신형)담보</t>
  </si>
  <si>
    <t>치수치료(갱신형)담보</t>
  </si>
  <si>
    <t>치아촬영(X-ray,파노라마)(갱신형)담보</t>
  </si>
  <si>
    <t>※ 하늘색 = 실손/비용손해 담보. ※ 담보를 추가할 때는 표준담보명을 '4.담보마스터'의 담보명과 글자까지 똑같이 입력해야 합계에 잡힙니다.</t>
  </si>
  <si>
    <t>가입 시기를 '실손보험 변천사' 기준에 대조해 세대를 판정했습니다. 전환 여부는 중립적으로 비교만 제시합니다.</t>
  </si>
  <si>
    <t>1) 신OO님 실손 세대 판정</t>
  </si>
  <si>
    <t>① 무배당하이라이프퍼펙트패키지보험(Hi1010)2종 (현대해상)</t>
  </si>
  <si>
    <t>★ 2세대 실손 — 표준화 이전기 (2009년 10월 ~ 2013년 3월 구간)</t>
  </si>
  <si>
    <t>입원 10% / 통원 1~2만원 정액 공제</t>
  </si>
  <si>
    <t>입원 5,000만원 / 통원 30만원 (외래 25만 + 처방조제 5만)</t>
  </si>
  <si>
    <t>갱신 · 재가입</t>
  </si>
  <si>
    <t>갱신 3년 주기 / 재가입 조건 없음 → 가입 당시 약관이 만기까지 유지</t>
  </si>
  <si>
    <t>2010-12-23 ~ 2090-12-23 (100세 만기)</t>
  </si>
  <si>
    <t>3대 비급여</t>
  </si>
  <si>
    <t>별도 특약 분리 없음 → 도수치료·비급여 주사·비급여 MRI가 기본 보장에 포함되며 자기부담 10% 적용</t>
  </si>
  <si>
    <t>2) 실손의료보험 세대별 변천사 (전체 비교)</t>
  </si>
  <si>
    <t>보장 내용(자기부담금)</t>
  </si>
  <si>
    <t>갱신 / 재가입</t>
  </si>
  <si>
    <t>1세대 (구실손)</t>
  </si>
  <si>
    <t>~ 2009년 9월</t>
  </si>
  <si>
    <t>입원: 자기부담 없음(100%)
통원: 5천원 공제</t>
  </si>
  <si>
    <t>입원 3천만~1억
통원 10만~30만</t>
  </si>
  <si>
    <t>갱신 3~5년 / 재가입 없음</t>
  </si>
  <si>
    <t>[표준화 이전] 자기부담금이 없어 보장성 최고, 갱신 시 보험료 인상 폭 큼</t>
  </si>
  <si>
    <t>2세대 (표준화 이전기)</t>
  </si>
  <si>
    <t>2009년 10월 ~ 2013년 3월</t>
  </si>
  <si>
    <t>입원: 10% 자기부담
통원: 1~2만원 공제</t>
  </si>
  <si>
    <t>입원 5,000만
통원 30만</t>
  </si>
  <si>
    <t>갱신 3년 / 재가입 없음</t>
  </si>
  <si>
    <t>[표준화 도입] 보험사별 보장 통일, 가입 당시 조건이 만기까지 유지</t>
  </si>
  <si>
    <t>★신OO님 해당 (2010-12-23)</t>
  </si>
  <si>
    <t>2세대 (표준화 이후기)</t>
  </si>
  <si>
    <t>2013년 4월 ~ 2017년 3월</t>
  </si>
  <si>
    <t>입원: 10~20% 자기부담
통원: 1~2만원 공제</t>
  </si>
  <si>
    <t>갱신 1년 / 재가입 15년</t>
  </si>
  <si>
    <t>[15년 재가입 신설] 15년 후 새 약관 기준으로 재가입 필요</t>
  </si>
  <si>
    <t>3세대 (착한실손)</t>
  </si>
  <si>
    <t>2017년 4월 ~ 2021년 6월</t>
  </si>
  <si>
    <t>급여 10~20%
비급여 20%
3대비급여 특약 30%</t>
  </si>
  <si>
    <t>[기본+특약 분리] 도수치료·MRI·비급여주사 특약 분리, 무사고 할인 도입</t>
  </si>
  <si>
    <t>4세대</t>
  </si>
  <si>
    <t>2021년 7월 ~ 2026년 4월</t>
  </si>
  <si>
    <t>급여 20%
비급여 30%</t>
  </si>
  <si>
    <t>급여/비급여 각각
입·통원 합산 연 5,000만</t>
  </si>
  <si>
    <t>갱신 1년 / 재가입 5년</t>
  </si>
  <si>
    <t>[보험료 차등제] 비급여 이용량에 따라 할증·할인, 재가입 주기 5년</t>
  </si>
  <si>
    <t>5세대</t>
  </si>
  <si>
    <t>2026년 5월 6일 ~ 현재</t>
  </si>
  <si>
    <t>급여: 입원 20%, 통원은 건보 본인부담률 연동
중증비급여 30%(연 상한 500만)
비중증비급여 50%</t>
  </si>
  <si>
    <t>급여 연 5,000만
중증비급여 연 5,000만
비중증비급여 연 1,000만</t>
  </si>
  <si>
    <t>[중증/비중증 분리] 중증 보장 강화, 비중증 비급여는 선택·제한 구조</t>
  </si>
  <si>
    <t>3) 2세대 유지 vs 5세대 전환 — 중립 비교</t>
  </si>
  <si>
    <t>현재 유지 (2세대 · 표준화 이전기)</t>
  </si>
  <si>
    <t>5세대로 전환할 경우</t>
  </si>
  <si>
    <t>상대적으로 높음. 갱신 3년 주기로 인상폭이 한 번에 크게 체감됨</t>
  </si>
  <si>
    <t>4세대 대비 30~50% 저렴. 2세대 대비 체감 절감폭은 더 큼</t>
  </si>
  <si>
    <t>지금 월 56,300원은 실손 외 정액담보가 포함된 금액이라 실손만 분리한 보험료 확인 필요</t>
  </si>
  <si>
    <t>입원 10% (가장 낮은 수준)</t>
  </si>
  <si>
    <t>입원 20%, 통원은 건강보험 본인부담률 연동</t>
  </si>
  <si>
    <t>상급종합병원을 자주 이용하면 5세대 통원 부담이 커짐</t>
  </si>
  <si>
    <t>10% (3대 비급여 특약 분리 없음)</t>
  </si>
  <si>
    <t>중증 비급여 30%(연 상한 500만원) / 비중증 비급여 50%</t>
  </si>
  <si>
    <t>도수치료·비급여 주사·MRI 이용 빈도가 판단의 핵심</t>
  </si>
  <si>
    <t>입원 5,000만원 한도 내 포괄</t>
  </si>
  <si>
    <t>비중증 비급여 연 1,000만원, 통원 1회 20만원, 병의원 입원 1회 300만원</t>
  </si>
  <si>
    <t>일반 한도 내 보장 (별도 상한 없음)</t>
  </si>
  <si>
    <t>암·뇌혈관 등 중증 비급여는 연간 자기부담 상한 500만원으로 방어력 강화</t>
  </si>
  <si>
    <t>고액 중증 치료만 놓고 보면 5세대가 유리한 구간이 있음</t>
  </si>
  <si>
    <t>재가입 · 약관 변경</t>
  </si>
  <si>
    <t>★재가입 조건 없음 → 2090년까지 현재 약관 유지</t>
  </si>
  <si>
    <t>5년마다 재가입, 그때그때의 새 약관이 적용됨</t>
  </si>
  <si>
    <t>'조건이 바뀌지 않는다'는 점이 2세대의 가장 큰 자산 — 전환하면 되돌릴 수 없음</t>
  </si>
  <si>
    <t>임신·출산, 발달장애 급여 의료비 미보장</t>
  </si>
  <si>
    <t>임신·출산 관련 의료비(산전검사·분만 등), 발달장애 급여 의료비 신규 포함</t>
  </si>
  <si>
    <t>만 36세 여성으로 출산 계획이 있다면 실질 가치가 있는 항목</t>
  </si>
  <si>
    <t>2026년 11월 시행 예정 — 1·2세대 초기 가입자 대상 선택형 할인 특약 또는 계약전환 할인(전환 시 3년간 50% 할인) 중 선택</t>
  </si>
  <si>
    <t>판단 기준은 '병원 이용 목적'입니다. ① 도수치료·비급여 주사 등 일상적 통증 치료를 자주 이용한다면 → 2세대 유지가 유리합니다. ② 병원을 거의 가지 않고 고액 중증 질환 대비가 목적이라면 → 보험료가 크게 낮아지는 5세대 전환도 선택지가 됩니다. ③ 다만 2세대의 '재가입 없음(약관 고정)'은 한 번 포기하면 복구할 수 없다는 점을 반드시 감안하시기 바랍니다. ④ 2026년 11월 시행 예정인 1·2세대 대상 할인 제도의 확정 내용을 본 뒤 판단하시는 것을 권합니다.
▶ 다만 실손 세대와 무관하게, 실손이 애초에 보상하지 않는 항목과 한도 초과분은 정액 수술비로만 메울 수 있습니다. 5세대 전환을 검토한다면 정액 수술비·질병통합치료비 보완이 사실상 전제 조건이 됩니다. 시트 '7.3대핵심트렌드' ③ 참고.</t>
  </si>
  <si>
    <t>2026년 3대 핵심 트렌드 — 암 주요치료비 · 순환계 주요치료비 · 정액 수술보험금</t>
  </si>
  <si>
    <t>세 담보군은 서로 독립된 유행이 아니라 '진단금 중심 → 치료비 중심'이라는 하나의 흐름입니다. 신OO님 계약과의 간극을 항목별로 정리했습니다.</t>
  </si>
  <si>
    <t>과거 보험은 '병에 걸린 사실'에 돈을 줬습니다(진단금). 지금 보험은 '치료를 받는 행위'에 돈을 줍니다(치료비).
이 변화의 배경은 두 가지입니다. ① 치료 기술이 고액 비급여(표적항암제·중입자치료·로봇수술·ECMO)로 옮겨가면서 진단금 한 번으로는 치료비를 감당할 수 없게 됐습니다. ② 2026년 5월 5세대 실손이 비중증 비급여 보장을 대폭 줄이면서, 실손이 메워주던 자리를 정액 담보가 대신 메워야 하게 됐습니다.
신OO님 계약은 ①의 결과물이 하나도 없고(암·뇌·심장 치료비 담보 전무), ②에 대해서는 2세대 실손 덕분에 '실손 쪽은 유리하지만 정액 수술비 쪽은 비어 있는' 절반의 상태입니다.</t>
  </si>
  <si>
    <t>시장의 현재 모습 (2026년 8월)</t>
  </si>
  <si>
    <t>근거 / 출처</t>
  </si>
  <si>
    <t>암 진단 시 한 번 주는 진단금과 별개로, 수술 · 항암약물치료 · 항암방사선치료 등 실제 치료를 받을 때마다 반복 지급하는 담보. 2024년 2월 삼성화재를 시작으로 전 손보사로 확산됐습니다.</t>
  </si>
  <si>
    <t>해당 담보 없음. 계약①(2010년 가입)의 암 관련 담보는 진단 1,000만 · 암수술 100만 · 암입원일당 5만이 전부입니다.</t>
  </si>
  <si>
    <t>다자비 / 뱅크샐러드</t>
  </si>
  <si>
    <t>보장 대상이 고액 비급여입니다. 표적항암제 연 6,000만~1억 2,000만원, 중입자치료 1코스 5,000만~8,000만원, 타그리소 4주 600만원 · 1년 7,000만원, 엔허투 1회 투약 500만~800만원. 실손은 통원 한도가 20~30만원이라 이 금액대를 감당하지 못합니다.</t>
  </si>
  <si>
    <t>★2세대 실손이 급여 치료비는 잘 막아주지만, 비급여 항암제는 실손 한도 안에서 처리되지 않습니다. 진단금 1,000만원으로는 표적항암제 두 달치도 되지 않습니다.</t>
  </si>
  <si>
    <t>약학정보원 2023 / 뱅크샐러드</t>
  </si>
  <si>
    <t>① 정액형만 판매(2024년 11월부터 비례형 중단) ② 치료예약 확정 시 선지급 — 초기 50%에서 현재 70%까지 확대 ③ 연간 합산형 / 행위별 개별한도형 / 구간형(계단식)으로 나뉨 ④ DB손보 암주요치료비 최대 1억 2,000만원, 비급여 암치료비 최대 8,000만원</t>
  </si>
  <si>
    <t>미보유. 시장 통용 설계수준은 3,000만원 내외입니다.</t>
  </si>
  <si>
    <t>뱅크샐러드 / 보험신보</t>
  </si>
  <si>
    <t>★병원등급 기준이 상품마다 다릅니다. 종합병원까지 인정하는지, 암종합치료기관까지인지, 상급종합병원만인지에 따라 실제 지급 여부가 갈립니다. 구간형은 구간 경계에 못 미치면 지급액이 크게 줄어듭니다.</t>
  </si>
  <si>
    <t>가입 검토 시 반드시 약관에서 확인해야 할 항목입니다.</t>
  </si>
  <si>
    <t>뇌·심장 보장이 '진단비 → 주요치료비 → 순환계 통합치료비'로 3단계 진화했습니다. MRI·PET·CT 검사, 수술, 혈전용해치료·혈전제거술, 인공호흡기·ECMO, 중환자실 치료, 항응고·항혈소판 주사, 전문재활치료까지 치료 전 과정을 하나로 묶어 항목별 차등 지급합니다.</t>
  </si>
  <si>
    <t>★해당 담보 없음. 그 이전 단계인 진단비조차 0원입니다. 뇌혈관질환 · 뇌졸중 · 뇌출혈 · 허혈성심장질환 · 급성심근경색 전부 미가입입니다.</t>
  </si>
  <si>
    <t>다자비 Market Trend ②</t>
  </si>
  <si>
    <t>기존 2대 질병 주요치료비는 뇌혈관질환 + 허혈성심장질환에 국한됐지만, 순환계 주요치료비는 부정맥 · 심부전 · 판막질환 등 순환계 질환 전반을 포괄합니다. 라이나생명은 순환계 62개 질병코드를 담았습니다.</t>
  </si>
  <si>
    <t>신OO님은 좁은 쪽(2대 질병 진단비)조차 없어, 넓어진 시장 기준과 비교 자체가 성립하지 않습니다.</t>
  </si>
  <si>
    <t>60대 사망원인 2위 심장질환(33,715명) · 3위 뇌혈관질환(25,420명). 2022년 수술 건당 진료비 1위 관상동맥우회술 3,440만원(연평균 +5.7%), 2위 심장수술 3,436만원, 3위 뇌기저부수술 2,035만원(+8.4%), 9위 스텐트삽입술 1,060만원. 상위 10개 중 6개가 순환계 수술입니다.</t>
  </si>
  <si>
    <t>이 금액이 발생하면 현재는 2세대 실손(자기부담 10%)으로만 대응하게 되며, 치료 기간 중 소득 공백을 메울 정액 보험금은 전혀 없습니다.</t>
  </si>
  <si>
    <t>2021 주요수술통계연보 / 국민건강보험</t>
  </si>
  <si>
    <t>미보유. 시장 통용 설계수준은 2,000만원 내외이며, 진단비(3,000만원 수준)와 함께 구성하는 것이 현재 표준입니다.</t>
  </si>
  <si>
    <t>다자비 / 보험신보</t>
  </si>
  <si>
    <t>★2026년 5월 6일 시행된 5세대 실손이 비중증 비급여 보장을 대폭 축소했습니다. 자기부담률 30% → 50%, 연간 한도 5,000만원 → 1,000만원, 통원 1회 20만원 · 병의원 입원 1회 300만원 제한 신설. 도수치료 · 비급여 주사 · MRI는 아예 지급 제외 방안이 추진 중입니다.</t>
  </si>
  <si>
    <t>신OO님은 2세대라 이 축소의 직접 영향은 받지 않습니다. 다만 '실손이 애초에 보상하지 않는 항목'과 '실손 한도 초과분'은 세대와 무관하게 정액 수술비로만 메울 수 있습니다.</t>
  </si>
  <si>
    <t>보험저널 / KB의 생각</t>
  </si>
  <si>
    <t>비중증 수술비 300만원이 발생할 때 가입자 부담은 기존 90만원 → 150만원으로 늘어납니다(5세대 기준). 이 차액을 메우는 것이 정액 수술비의 역할입니다.</t>
  </si>
  <si>
    <t>2세대 유지 시 신OO님 부담은 30만원 수준이라 유리합니다. 그러나 계약①의 정액 수술 담보는 '16대질병수술 100만원' 한정형뿐이라, 16대에 들어가지 않는 수술은 정액 보험금이 0원입니다.</t>
  </si>
  <si>
    <t>① 1~5종 종수술비 — 급여 · 비급여를 따지지 않고 수술확인서만으로 정액 지급, 반복 청구 가능(5종 기준 500~1,000만원) ② 질병통합치료비 — 검사 · 시술 · 수술 · 중증치료를 하나로 묶은 확장형(메리츠 · KB손보 · 하나손보 등) ③ 상해 1~5종 종수술비 ④ 근골격계 비급여 · 비급여 주사제 정액담보</t>
  </si>
  <si>
    <t>①②③ 모두 미보유. 계약②의 부위별 특정상해수술 7종은 해당 부위가 아니면 지급되지 않는 한정형입니다.</t>
  </si>
  <si>
    <t>보험저널 / 시장 표준</t>
  </si>
  <si>
    <t>5세대 출시를 앞두고 정액형 담보 수요가 몰렸고, DB손보는 '반값 종수술비' 판매 종료를 4월까지 연기하는 등 브릿지 전략을 폈습니다. 업계는 정액 반복보장 구조가 '설명이 쉽고 설득력이 높다'고 평가합니다.</t>
  </si>
  <si>
    <t>정액 수술비는 비갱신형으로 준비하는 것이 일반적입니다. 계약①(비갱신 25년납)과 성격이 맞습니다.</t>
  </si>
  <si>
    <t>신OO님의 보장은 '2010년의 보험'입니다. 2010년 기준으로는 나쁘지 않은 설계였고, 특히 2세대 실손은 지금도 최상급입니다. 다만 그 이후 15년간 보험이 진단금에서 치료비로 옮겨가는 동안 계약은 그대로였습니다. 암 주요치료비 · 순환계 주요치료비 · 정액 수술비 세 가지는 '더 좋은 상품으로 갈아타는' 문제가 아니라, 지금 계약에 없는 종류의 보장을 더하는 문제입니다. 기존 계약, 특히 계약①의 2세대 실손은 그대로 두는 것이 전제입니다.</t>
  </si>
  <si>
    <t>담보별 최근(2026년) 담보유형 트렌드 비교</t>
  </si>
  <si>
    <t>2026년 8월 기준 시장에서 판매 중인 담보 구성과 신OO님 보유 담보를 비교했습니다. 근거 출처는 하단 참고.</t>
  </si>
  <si>
    <t>과거(2010~2019년 가입 시점) 구조</t>
  </si>
  <si>
    <t>2026년 현재 담보유형</t>
  </si>
  <si>
    <t>암 진단 시 일시금 지급이 전부. 유사암·고액암 구분 없음</t>
  </si>
  <si>
    <t>진단금 → '치료 전 과정 보장'으로 이동. 암주요치료비(수술·항암약물·방사선 등 실제 치료행위 연동), 비급여 암치료비, 표적·면역·중입자 치료비, 치료 예약 확정 시 선지급(50%→70%), 회차별 증가형 치료지원비</t>
  </si>
  <si>
    <t>계약①은 2010년 약관으로 일반암 1,000만·암수술 100만·암입원일당 5만이 전부. 유사암·고액암·재진단암·항암치료비·주요치료비 전 항목 부재 — 최근 15년간 신설 담보군 전체가 공백</t>
  </si>
  <si>
    <t>다자비 보험AI뉴스 / 보험신보</t>
  </si>
  <si>
    <t>뇌 · 심장</t>
  </si>
  <si>
    <t>뇌졸중·급성심근경색 진단비 중심 (좁은 범위)</t>
  </si>
  <si>
    <t>① 진단비 범위 상향(뇌졸중→뇌혈관질환, 급심→허혈성→심혈관질환) ② 주요치료비(수술·혈전용해) ③ ★순환계 통합치료비 — MRI·PET·CT 검사, 수술·혈전용해/제거술, 인공호흡기·ECMO, 항응고/항혈소판 주사, 전문재활치료까지 전 과정 포괄 ④ 산정특례 진단비 신설</t>
  </si>
  <si>
    <t>계약①②③ 모두 뇌·심장 담보가 단 하나도 없습니다. 진단비 단계조차 미가입이라 최신 통합치료비 구조와는 비교 자체가 어려운 상태</t>
  </si>
  <si>
    <t>다자비 보험AI뉴스</t>
  </si>
  <si>
    <t>간병 · 치매</t>
  </si>
  <si>
    <t>장기요양 담보 자체가 드물었고, 있어도 1~2등급 한정</t>
  </si>
  <si>
    <t>① 장기요양 1~5등급·인지지원등급까지 확대, 등급별 차등지급 ② CDR 척도별 치매진단비(CDR1 500~1,000만 / CDR2 1,000~2,000만 / CDR3 2,000~3,000만) ③ 간병인사용일당 7~10만원/일 이상 권장(실제 간병비 10~15만원/일) ④ 신경인지기능 종합검사비 지원, 아밀로이드 베타 표적치료제 회차별 치료비</t>
  </si>
  <si>
    <t>전 계약 미가입. 간병도우미료 소비자물가가 전년 대비 13% 상승 중이라 시간이 갈수록 공백 체감이 커지는 영역</t>
  </si>
  <si>
    <t>베이비빌리 / 보험신보</t>
  </si>
  <si>
    <t>수술 · 입원</t>
  </si>
  <si>
    <t>16대·4대 등 한정 질병군 수술·입원 담보</t>
  </si>
  <si>
    <t>① 질병·상해 1~5종 종수술비(5종 500~1,000만) ② N대 질병 범위 확대(16대→38대·61대·105대) ③ 상급종합병원·중환자실 입원일당 가산형 ④ 로봇수술 등 고액 비급여 수술 별도 담보화</t>
  </si>
  <si>
    <t>계약① 16대질병수술 100만·입원일당 2만은 2010년 기준. 일반 질병수술비·상해수술비가 없어 '수술을 했는데 16대에 안 들어가면 못 받는' 구조. 입원일당도 현 권장 3만 대비 2만</t>
  </si>
  <si>
    <t>교보생명 뉴스룸 / 시장 표준</t>
  </si>
  <si>
    <t>2세대 표준화 실손 — 자기부담 10%, 3대 비급여 특약 분리 없음, 재가입 없음</t>
  </si>
  <si>
    <t>5세대(2026.5.6~) — 급여/중증비급여/비중증비급여 3분할, 자기부담 20%/30%/50%, 비중증 비급여 연 1,000만 한도, 통원 1회 20만 제한, 재가입 5년</t>
  </si>
  <si>
    <t>★유일하게 신OO님이 '앞서 있는' 담보입니다. 세대가 내려갈수록 자기부담은 높아지고 한도는 줄었으므로, 2세대 유지는 그 자체로 자산입니다. 상세 비교는 시트 '6.실손분석' 참고</t>
  </si>
  <si>
    <t>KB의 생각 / 실손보험 변천사</t>
  </si>
  <si>
    <t>벌금 2,000만·교통사고처리지원금 3,000만·변호사선임비용 500만이 통상 수준(2017년 기준)</t>
  </si>
  <si>
    <t>① 벌금 대인 3,000만(스쿨존 포함)·대물 500만 ② 교통사고처리지원금 2억~2.5억 권장 ③ ★변호사선임비용 2026년 개정: 심급별 500만·총 1,500만 + 자기부담금 50% 신설 ④ 자동차사고부상치료비 1~14급 차등(14급 경미 부상도 약 30만) ⑤ 12대 중과실에 어린이집·유치원 시설 내 사고 추가</t>
  </si>
  <si>
    <t>계약②는 2017년 약관이라 변호사비 자기부담금 50%가 없는 유리한 조건입니다. 다만 교통사고처리지원금 3,000만은 현 합의금 시세(2억 권장) 대비 크게 부족하고, 대물벌금 담보가 없습니다</t>
  </si>
  <si>
    <t>TILNOTE 2026 운전자보험 개정 정리</t>
  </si>
  <si>
    <t>생활 · 만성질환</t>
  </si>
  <si>
    <t>① 고혈압·당뇨·고지혈 통합보장(흥국화재 7종 세분화, 롯데손보 고당지 3·6·10) 및 무질환자 최대 10% 할인 ② 유병자 인수기준 완화(입원·수술 확인기간 5년→2년) ③ 헬스케어 플랫폼 연계 현물보장(연속혈당측정기·인바디·간호사 동행) ④ 무사고 시 건강지원금 환급형</t>
  </si>
  <si>
    <t>전 계약 미가입. 36세 현재는 급하지 않으나, 향후 만성질환 발생 후에는 가입이 어려워지는 담보군입니다</t>
  </si>
  <si>
    <t>보험신보 2026 상반기 상품 트렌드</t>
  </si>
  <si>
    <t>사망 · 후유장해</t>
  </si>
  <si>
    <t>상해사망·상해후유장해 중심(손보 종합보험 표준)</t>
  </si>
  <si>
    <t>① 질병사망은 80·90세 만기 정기형으로 저렴하게 보완하는 설계가 일반화 ② 질병 3% 이상 후유장해 비례보상 확대 ③ 사망보험금 유동화(연금·요양비 전환) 제도 논의</t>
  </si>
  <si>
    <t>계약① 상해사망 1억 6,000만·상해후유장해 1억 6,000만은 권장 대비 양호하나, 질병사망 0원 / 질병후유장해 0원으로 '질병' 쪽이 통째로 비어 있습니다</t>
  </si>
  <si>
    <t>보험신보 / 시장 표준</t>
  </si>
  <si>
    <t>20260813_신O하님_보장분석.pdf (KB손해보험 경기강원GA사업단, 한국신용정보원 집적 계약정보 기반)</t>
  </si>
  <si>
    <t>보장분석24.xlsx ('김수진 가족' 시트 구분 체계)</t>
  </si>
  <si>
    <t>실손보험 변천사.docx</t>
  </si>
  <si>
    <t>2026 상반기 상품 트렌드</t>
  </si>
  <si>
    <t>보험신보 '2026 상반기 패러다임을 바꾼 보험상품'</t>
  </si>
  <si>
    <t>다자비 보험AI뉴스 '순환계질환, 주요치료비 넘어 통합치료비로'</t>
  </si>
  <si>
    <t>다자비 보험AI뉴스 '암보험, 이제는 진단금보다 치료 전 과정 보장으로'</t>
  </si>
  <si>
    <t>5세대 실손</t>
  </si>
  <si>
    <t>KB의 생각 '5세대 실손보험 출시, 달라진 점과 전환하기 전 확인 사항'</t>
  </si>
  <si>
    <t>운전자보험 2026 개정</t>
  </si>
  <si>
    <t>TILNOTE '2026 운전자보험 필수 특약 추천 개정 핵심 정리'</t>
  </si>
  <si>
    <t>베이비빌리 '간병보험 완전정리 2026'</t>
  </si>
  <si>
    <t>5세대 실손 → 수술비 대안</t>
  </si>
  <si>
    <t>보험저널 '5세대 실손 비중증 환자 부담 커진다… 수술비·질병통합치료비 대안 급부상'</t>
  </si>
  <si>
    <t>보험저널 '5세대 실손보험 출시 앞두고 … 급여·비급여 안 따지는 정액형 담보 수요 몰린다'</t>
  </si>
  <si>
    <t>보험저널 '5세대 실손 나와도… 다빈도 수술비·치료비는 따로 들어야 할 판'</t>
  </si>
  <si>
    <t>뱅크샐러드 '암주요치료비 보험, 암치료비용·보장 범위 정리'</t>
  </si>
  <si>
    <t>다자비 보험AI뉴스 'Market Trend ② 심·뇌 보장, 2대 질병 넘어 순환계 주요치료비로'</t>
  </si>
  <si>
    <t>계약·담보·기간 관점에서 반드시 짚어야 할 항목입니다.</t>
  </si>
  <si>
    <t>2세대 실손 (2010-12-23)</t>
  </si>
  <si>
    <t>자기부담 10%, 3대 비급여 특약 분리 없음, 재가입 조건 없이 2090-12-23(100세)까지 현재 약관 유지. 5세대(자기부담 20~50%, 비중증 연 1,000만 한도)와 비교하면 보유 계약 중 대체 불가능한 자산입니다.</t>
  </si>
  <si>
    <t>2017-11-20 가입분으로 2026년 개정(변호사선임비용 심급별 500만·총 1,500만 + 자기부담금 50%) 적용을 받지 않습니다. 단 절대 한도(500만원)는 낮으므로, 해지가 아니라 '추가 보완'이 맞는 접근입니다.</t>
  </si>
  <si>
    <t>자동차보험 만기 2026-08-19</t>
  </si>
  <si>
    <t>KB다이렉트개인용(무보험차상해 5억 / 다른 자동차 운전담보 1,000만) 보험기간이 2025-08-19 ~ 2026-08-19로, 기준일(2026-08-13) 기준 6일 뒤 만기입니다. 갱신 처리 여부를 즉시 확인해야 합니다.</t>
  </si>
  <si>
    <t>별도(KB손보)</t>
  </si>
  <si>
    <t>치아보험 2034-10-01 만기</t>
  </si>
  <si>
    <t>만 44세 만기로 3건 중 가장 먼저 종료됩니다. 만기 시 치아보존 40만·기타 치과치료비뿐 아니라 보철치료비 200만원이 함께 소멸해, 보철치료비 합계가 205만 → 5만원으로 급감합니다.</t>
  </si>
  <si>
    <t>2034년</t>
  </si>
  <si>
    <t>월 50,320원으로 전체 보험료(119,550원)의 42%를 차지하는데, 갱신형이라 갱신 시마다 인상됩니다. 보장 대비 보험료 비중이 적정한지 갱신 시점마다 점검이 필요합니다.</t>
  </si>
  <si>
    <t>뇌혈관·뇌졸중·뇌출혈·허혈성심장질환·급성심근경색 진단비가 전부 0원, 간병·치매도 전부 0원입니다. 일반암도 1,000만원으로 권장(1억) 대비 -9,000만원입니다.</t>
  </si>
  <si>
    <t>질병 사망 · 질병 후유장해 0원</t>
  </si>
  <si>
    <t>상해사망 1억 6,000만·상해후유장해 1억 6,000만은 확보되어 있으나 질병 쪽은 전무합니다. 손해보험 종합보험의 전형적인 편중 구조입니다.</t>
  </si>
  <si>
    <t>3대 비급여실손 '미가입' 표시</t>
  </si>
  <si>
    <t>권장 350만원 대비 가입 0원으로 표시되지만, 2세대 실손은 3대 비급여가 기본 보장에 포함(자기부담 10%)되어 있습니다. 실질적인 공백이 아니므로 판정 결과를 그대로 해석하면 안 됩니다.</t>
  </si>
  <si>
    <t>① 계약①의 '16대질병수술 100만'은 신정원 매핑상 '특정질병수술'이나, 보장분석24 포맷의 '수술비-N대질병' 행에만 집계했습니다. ② 계약①의 '상해+질병 입원의료비 5,000만'은 하나의 담보이나 상해입원·질병입원 두 행에 각각 표기했습니다(원 보장분석 PDF와 동일 방식). ③ 계약②의 부위별 특정상해수술 7종은 1사고 합산지급이 아니므로 권장금액 판정에서 제외했습니다.</t>
  </si>
  <si>
    <t>본 분석은 한국신용정보원에 집적된 계약정보(손보 2002년 12월 이후, 생보 2000년 4월 이후, 공제 2009년 10월 이후 계약 건만 조회) 기반이며 정상계약만 포함합니다. 실효·해지 건과 단체보험은 빠져 있어 실제 가입 현황과 차이가 있을 수 있습니다.</t>
  </si>
  <si>
    <t>자동차보험 조회 내역 (신용정보원 · 별도 계약)</t>
  </si>
  <si>
    <t>상품 / 담보유형</t>
  </si>
  <si>
    <t>KB손보</t>
  </si>
  <si>
    <t>KB다이렉트개인용 / 무보험차상해</t>
  </si>
  <si>
    <t>무보험차에 의한 상해(개인용,업무용,이륜차)</t>
  </si>
  <si>
    <t>5억</t>
  </si>
  <si>
    <t>KB다이렉트개인용 / 다른자동차상해</t>
  </si>
  <si>
    <t>1,000만</t>
  </si>
  <si>
    <t>OOO</t>
    <phoneticPr fontId="13" type="noConversion"/>
  </si>
  <si>
    <t>총 납입 보험료
(현 보험료 기준)</t>
    <phoneticPr fontId="13" type="noConversion"/>
  </si>
  <si>
    <t>2025-08-19 ~ 
2026-08-19</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</si>
</sst>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quot;원&quot;;\-#,##0&quot;원&quot;;\-"/>
    <numFmt numFmtId="177" formatCode="0.0%"/>
    <numFmt numFmtId="178" formatCode="#,##0;\-#,##0;0"/>
    <numFmt numFmtId="179" formatCode="yyyy\-mm\-dd"/>
    <numFmt numFmtId="180" formatCode="#,##0;\-#,##0;\-"/>
  </numFmts>
  <fonts count="29">
    <font>
      <sz val="11"/>
      <color theme="1"/>
      <name val="Calibri"/>
      <family val="2"/>
      <charset val="1"/>
    </font>
    <font>
      <b/>
      <sz val="16"/>
      <color rgb="FF1F3864"/>
      <name val="맑은 고딕"/>
      <family val="3"/>
      <charset val="129"/>
    </font>
    <font>
      <sz val="9"/>
      <color rgb="FF7F7F7F"/>
      <name val="맑은 고딕"/>
      <family val="3"/>
      <charset val="129"/>
    </font>
    <font>
      <sz val="9"/>
      <color rgb="FF000000"/>
      <name val="맑은 고딕"/>
      <family val="3"/>
      <charset val="129"/>
    </font>
    <font>
      <i/>
      <sz val="9"/>
      <color rgb="FFA6A6A6"/>
      <name val="맑은 고딕"/>
      <family val="3"/>
      <charset val="129"/>
    </font>
    <font>
      <sz val="10"/>
      <name val="Noto Sans CJK SC"/>
      <family val="2"/>
    </font>
    <font>
      <sz val="10"/>
      <name val="Arial"/>
      <family val="2"/>
    </font>
    <font>
      <b/>
      <sz val="9"/>
      <color rgb="FF2E5C8A"/>
      <name val="맑은 고딕"/>
      <family val="3"/>
      <charset val="129"/>
    </font>
    <font>
      <b/>
      <sz val="9"/>
      <color rgb="FF000000"/>
      <name val="맑은 고딕"/>
      <family val="3"/>
      <charset val="129"/>
    </font>
    <font>
      <sz val="9"/>
      <color rgb="FFC00000"/>
      <name val="맑은 고딕"/>
      <family val="3"/>
      <charset val="129"/>
    </font>
    <font>
      <b/>
      <sz val="9"/>
      <color rgb="FFC00000"/>
      <name val="맑은 고딕"/>
      <family val="3"/>
      <charset val="129"/>
    </font>
    <font>
      <b/>
      <sz val="9"/>
      <color rgb="FF1F3864"/>
      <name val="맑은 고딕"/>
      <family val="3"/>
      <charset val="129"/>
    </font>
    <font>
      <sz val="9"/>
      <color rgb="FF0563C1"/>
      <name val="맑은 고딕"/>
      <family val="3"/>
      <charset val="129"/>
    </font>
    <font>
      <sz val="8"/>
      <name val="돋움"/>
      <family val="3"/>
      <charset val="129"/>
    </font>
    <font>
      <sz val="9"/>
      <color theme="1"/>
      <name val="맑은 고딕"/>
      <family val="3"/>
      <charset val="129"/>
    </font>
    <font>
      <i/>
      <sz val="9"/>
      <color rgb="FF7F7F7F"/>
      <name val="맑은 고딕"/>
      <family val="3"/>
      <charset val="129"/>
    </font>
    <font>
      <b/>
      <sz val="9"/>
      <color theme="1"/>
      <name val="맑은 고딕"/>
      <family val="3"/>
      <charset val="129"/>
    </font>
    <font>
      <b/>
      <sz val="9"/>
      <color rgb="FF0000FF"/>
      <name val="맑은 고딕"/>
      <family val="3"/>
      <charset val="129"/>
    </font>
    <font>
      <b/>
      <sz val="9"/>
      <color rgb="FFFFFFFF"/>
      <name val="맑은 고딕"/>
      <family val="3"/>
      <charset val="129"/>
    </font>
    <font>
      <sz val="9"/>
      <color rgb="FFA6A6A6"/>
      <name val="맑은 고딕"/>
      <family val="3"/>
      <charset val="129"/>
    </font>
    <font>
      <sz val="8.5"/>
      <color rgb="FF000000"/>
      <name val="맑은 고딕"/>
      <family val="3"/>
      <charset val="129"/>
    </font>
    <font>
      <b/>
      <sz val="8.5"/>
      <color rgb="FF000000"/>
      <name val="맑은 고딕"/>
      <family val="3"/>
      <charset val="129"/>
    </font>
    <font>
      <b/>
      <sz val="8.5"/>
      <color rgb="FF2E5C8A"/>
      <name val="맑은 고딕"/>
      <family val="3"/>
      <charset val="129"/>
    </font>
    <font>
      <b/>
      <sz val="8.5"/>
      <color rgb="FFC00000"/>
      <name val="맑은 고딕"/>
      <family val="3"/>
      <charset val="129"/>
    </font>
    <font>
      <sz val="8.5"/>
      <color theme="1"/>
      <name val="맑은 고딕"/>
      <family val="3"/>
      <charset val="129"/>
    </font>
    <font>
      <b/>
      <sz val="8.5"/>
      <color rgb="FF1F3864"/>
      <name val="맑은 고딕"/>
      <family val="3"/>
      <charset val="129"/>
    </font>
    <font>
      <sz val="8.5"/>
      <color rgb="FF7F7F7F"/>
      <name val="맑은 고딕"/>
      <family val="3"/>
      <charset val="129"/>
    </font>
    <font>
      <i/>
      <sz val="8.5"/>
      <color rgb="FFA6A6A6"/>
      <name val="맑은 고딕"/>
      <family val="3"/>
      <charset val="129"/>
    </font>
    <font>
      <sz val="8.5"/>
      <color rgb="FFC00000"/>
      <name val="맑은 고딕"/>
      <family val="3"/>
      <charset val="129"/>
    </font>
  </fonts>
  <fills count="11">
    <fill>
      <patternFill patternType="none"/>
    </fill>
    <fill>
      <patternFill patternType="gray125"/>
    </fill>
    <fill>
      <patternFill patternType="solid">
        <fgColor rgb="FFF2F2F2"/>
        <bgColor rgb="FFFBF3E4"/>
      </patternFill>
    </fill>
    <fill>
      <patternFill patternType="solid">
        <fgColor rgb="FFD9E2F3"/>
        <bgColor rgb="FFDDEBF7"/>
      </patternFill>
    </fill>
    <fill>
      <patternFill patternType="solid">
        <fgColor rgb="FFFFF2CC"/>
        <bgColor rgb="FFFBF3E4"/>
      </patternFill>
    </fill>
    <fill>
      <patternFill patternType="solid">
        <fgColor rgb="FF1F3864"/>
        <bgColor rgb="FF333333"/>
      </patternFill>
    </fill>
    <fill>
      <patternFill patternType="solid">
        <fgColor rgb="FFFBF3E4"/>
        <bgColor rgb="FFF2F2F2"/>
      </patternFill>
    </fill>
    <fill>
      <patternFill patternType="solid">
        <fgColor rgb="FFDDEBF7"/>
        <bgColor rgb="FFD9E2F3"/>
      </patternFill>
    </fill>
    <fill>
      <patternFill patternType="solid">
        <fgColor rgb="FFFCE4EC"/>
        <bgColor rgb="FFFBF3E4"/>
      </patternFill>
    </fill>
    <fill>
      <patternFill patternType="solid">
        <fgColor rgb="FFE7E7E7"/>
        <bgColor rgb="FFDDEBF7"/>
      </patternFill>
    </fill>
    <fill>
      <patternFill patternType="solid">
        <fgColor rgb="FFFFFFFF"/>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4">
    <xf numFmtId="0" fontId="0" fillId="0" borderId="0" xfId="0"/>
    <xf numFmtId="0" fontId="3" fillId="0" borderId="1" xfId="0" applyFont="1" applyBorder="1" applyAlignment="1">
      <alignment horizontal="center" vertical="center" wrapText="1"/>
    </xf>
    <xf numFmtId="0" fontId="8"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7"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178" fontId="8" fillId="0" borderId="1" xfId="0" applyNumberFormat="1" applyFont="1" applyBorder="1" applyAlignment="1">
      <alignment horizontal="center" vertical="center" wrapText="1"/>
    </xf>
    <xf numFmtId="178" fontId="7" fillId="0" borderId="1" xfId="0" applyNumberFormat="1" applyFont="1" applyBorder="1" applyAlignment="1">
      <alignment horizontal="center" vertical="center" wrapText="1"/>
    </xf>
    <xf numFmtId="0" fontId="11" fillId="4" borderId="1" xfId="0" applyFont="1" applyFill="1" applyBorder="1" applyAlignment="1">
      <alignment horizontal="center" vertical="center" wrapText="1"/>
    </xf>
    <xf numFmtId="0" fontId="14" fillId="0" borderId="0" xfId="0" applyFont="1" applyAlignment="1">
      <alignment vertical="center" wrapText="1"/>
    </xf>
    <xf numFmtId="0" fontId="7" fillId="0" borderId="0" xfId="0" applyFont="1" applyAlignment="1">
      <alignment vertical="center" wrapText="1"/>
    </xf>
    <xf numFmtId="0" fontId="14" fillId="0" borderId="1" xfId="0" applyFont="1" applyBorder="1" applyAlignment="1">
      <alignment vertical="center" wrapText="1"/>
    </xf>
    <xf numFmtId="0" fontId="16" fillId="0" borderId="0" xfId="0" applyFont="1" applyAlignment="1">
      <alignment horizontal="center" vertical="center" wrapText="1"/>
    </xf>
    <xf numFmtId="0" fontId="7" fillId="0" borderId="0" xfId="0" applyFont="1" applyAlignment="1">
      <alignment horizontal="center" vertical="center" wrapText="1"/>
    </xf>
    <xf numFmtId="0" fontId="11" fillId="2" borderId="1" xfId="0" applyFont="1" applyFill="1" applyBorder="1" applyAlignment="1">
      <alignment horizontal="center" vertical="center" wrapText="1"/>
    </xf>
    <xf numFmtId="179" fontId="17" fillId="4" borderId="1" xfId="0" applyNumberFormat="1" applyFont="1" applyFill="1" applyBorder="1" applyAlignment="1">
      <alignment horizontal="center" vertical="center" wrapText="1"/>
    </xf>
    <xf numFmtId="0" fontId="7" fillId="0" borderId="1" xfId="0" applyFont="1" applyBorder="1" applyAlignment="1">
      <alignment horizontal="center" vertical="center" wrapText="1"/>
    </xf>
    <xf numFmtId="179" fontId="3" fillId="0" borderId="1" xfId="0" applyNumberFormat="1" applyFont="1" applyBorder="1" applyAlignment="1">
      <alignment horizontal="center" vertical="center" wrapText="1"/>
    </xf>
    <xf numFmtId="0" fontId="18" fillId="5" borderId="1" xfId="0" applyFont="1" applyFill="1" applyBorder="1" applyAlignment="1">
      <alignment horizontal="center" vertical="center" wrapText="1"/>
    </xf>
    <xf numFmtId="0" fontId="8" fillId="0" borderId="0" xfId="0" applyFont="1" applyAlignment="1">
      <alignment horizontal="right" vertical="center" wrapText="1"/>
    </xf>
    <xf numFmtId="176" fontId="17" fillId="0" borderId="1" xfId="0" applyNumberFormat="1" applyFont="1" applyBorder="1" applyAlignment="1">
      <alignment horizontal="right" vertical="center" wrapText="1"/>
    </xf>
    <xf numFmtId="176" fontId="3" fillId="0" borderId="1" xfId="0" applyNumberFormat="1" applyFont="1" applyBorder="1" applyAlignment="1">
      <alignment horizontal="right" vertical="center" wrapText="1"/>
    </xf>
    <xf numFmtId="177" fontId="3" fillId="0" borderId="1" xfId="0" applyNumberFormat="1" applyFont="1" applyBorder="1" applyAlignment="1">
      <alignment horizontal="right" vertical="center" wrapText="1"/>
    </xf>
    <xf numFmtId="0" fontId="4" fillId="0" borderId="1" xfId="0" applyFont="1" applyBorder="1" applyAlignment="1">
      <alignment vertical="center" wrapText="1"/>
    </xf>
    <xf numFmtId="176" fontId="18" fillId="5" borderId="1" xfId="0" applyNumberFormat="1" applyFont="1" applyFill="1" applyBorder="1" applyAlignment="1">
      <alignment horizontal="right" vertical="center" wrapText="1"/>
    </xf>
    <xf numFmtId="177" fontId="18" fillId="5" borderId="1" xfId="0" applyNumberFormat="1" applyFont="1" applyFill="1" applyBorder="1" applyAlignment="1">
      <alignment horizontal="right" vertical="center" wrapText="1"/>
    </xf>
    <xf numFmtId="0" fontId="19" fillId="0" borderId="0" xfId="0" applyFont="1" applyAlignment="1">
      <alignment horizontal="center" vertical="center" wrapText="1"/>
    </xf>
    <xf numFmtId="0" fontId="11" fillId="6" borderId="1" xfId="0" applyFont="1" applyFill="1" applyBorder="1" applyAlignment="1">
      <alignment horizontal="center" vertical="center" wrapText="1"/>
    </xf>
    <xf numFmtId="0" fontId="19" fillId="0" borderId="0" xfId="0" applyFont="1" applyAlignment="1">
      <alignment vertical="center" wrapText="1"/>
    </xf>
    <xf numFmtId="0" fontId="20" fillId="0" borderId="1" xfId="0" applyFont="1" applyBorder="1" applyAlignment="1">
      <alignment horizontal="center" vertical="center" wrapText="1"/>
    </xf>
    <xf numFmtId="0" fontId="21" fillId="0" borderId="1" xfId="0" applyFont="1" applyBorder="1" applyAlignment="1">
      <alignment horizontal="left" vertical="center" wrapText="1"/>
    </xf>
    <xf numFmtId="180" fontId="20" fillId="0" borderId="1" xfId="0" applyNumberFormat="1" applyFont="1" applyBorder="1" applyAlignment="1">
      <alignment horizontal="right" vertical="center" wrapText="1"/>
    </xf>
    <xf numFmtId="180" fontId="22" fillId="0" borderId="1" xfId="0" applyNumberFormat="1" applyFont="1" applyBorder="1" applyAlignment="1">
      <alignment horizontal="right" vertical="center" wrapText="1"/>
    </xf>
    <xf numFmtId="0" fontId="21" fillId="0" borderId="1" xfId="0" applyFont="1" applyBorder="1" applyAlignment="1">
      <alignment horizontal="center" vertical="center" wrapText="1"/>
    </xf>
    <xf numFmtId="180" fontId="20" fillId="6" borderId="1" xfId="0" applyNumberFormat="1" applyFont="1" applyFill="1" applyBorder="1" applyAlignment="1">
      <alignment horizontal="right" vertical="center" wrapText="1"/>
    </xf>
    <xf numFmtId="0" fontId="23" fillId="0" borderId="1" xfId="0" applyFont="1" applyBorder="1" applyAlignment="1">
      <alignment horizontal="left" vertical="center" wrapText="1"/>
    </xf>
    <xf numFmtId="0" fontId="24" fillId="0" borderId="0" xfId="0" applyFont="1" applyAlignment="1">
      <alignment vertical="center" wrapText="1"/>
    </xf>
    <xf numFmtId="0" fontId="25" fillId="0" borderId="0" xfId="0" applyFont="1" applyAlignment="1">
      <alignment vertical="center" wrapText="1"/>
    </xf>
    <xf numFmtId="0" fontId="21" fillId="7" borderId="1" xfId="0" applyFont="1" applyFill="1" applyBorder="1" applyAlignment="1">
      <alignment horizontal="center" vertical="center" wrapText="1"/>
    </xf>
    <xf numFmtId="0" fontId="20" fillId="0" borderId="0" xfId="0" applyFont="1" applyAlignment="1">
      <alignment horizontal="left" vertical="center" wrapText="1"/>
    </xf>
    <xf numFmtId="0" fontId="21" fillId="8" borderId="1" xfId="0" applyFont="1" applyFill="1" applyBorder="1" applyAlignment="1">
      <alignment horizontal="center" vertical="center" wrapText="1"/>
    </xf>
    <xf numFmtId="0" fontId="21" fillId="9" borderId="1" xfId="0" applyFont="1" applyFill="1" applyBorder="1" applyAlignment="1">
      <alignment horizontal="center" vertical="center" wrapText="1"/>
    </xf>
    <xf numFmtId="0" fontId="21" fillId="10"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20" fillId="4" borderId="1" xfId="0" applyFont="1" applyFill="1" applyBorder="1" applyAlignment="1">
      <alignment horizontal="center" vertical="center" wrapText="1"/>
    </xf>
    <xf numFmtId="0" fontId="21" fillId="4" borderId="1" xfId="0" applyFont="1" applyFill="1" applyBorder="1" applyAlignment="1">
      <alignment horizontal="left" vertical="center" wrapText="1"/>
    </xf>
    <xf numFmtId="180" fontId="20" fillId="4" borderId="1" xfId="0" applyNumberFormat="1" applyFont="1" applyFill="1" applyBorder="1" applyAlignment="1">
      <alignment horizontal="right" vertical="center" wrapText="1"/>
    </xf>
    <xf numFmtId="0" fontId="27" fillId="0" borderId="1" xfId="0" applyFont="1" applyBorder="1" applyAlignment="1">
      <alignment horizontal="center" vertical="center" wrapText="1"/>
    </xf>
    <xf numFmtId="0" fontId="27" fillId="0" borderId="1" xfId="0" applyFont="1" applyBorder="1" applyAlignment="1">
      <alignment horizontal="left" vertical="center" wrapText="1"/>
    </xf>
    <xf numFmtId="0" fontId="20" fillId="0" borderId="1" xfId="0" applyFont="1" applyBorder="1" applyAlignment="1">
      <alignment horizontal="right" vertical="center" wrapText="1"/>
    </xf>
    <xf numFmtId="0" fontId="20" fillId="0" borderId="1" xfId="0" applyFont="1" applyBorder="1" applyAlignment="1">
      <alignment horizontal="left" vertical="center" wrapText="1"/>
    </xf>
    <xf numFmtId="0" fontId="20" fillId="7" borderId="1" xfId="0" applyFont="1" applyFill="1" applyBorder="1" applyAlignment="1">
      <alignment horizontal="center" vertical="center" wrapText="1"/>
    </xf>
    <xf numFmtId="0" fontId="20" fillId="7" borderId="1" xfId="0" applyFont="1" applyFill="1" applyBorder="1" applyAlignment="1">
      <alignment horizontal="left" vertical="center" wrapText="1"/>
    </xf>
    <xf numFmtId="0" fontId="21" fillId="7" borderId="1" xfId="0" applyFont="1" applyFill="1" applyBorder="1" applyAlignment="1">
      <alignment horizontal="left" vertical="center" wrapText="1"/>
    </xf>
    <xf numFmtId="180" fontId="20" fillId="7" borderId="1" xfId="0" applyNumberFormat="1" applyFont="1" applyFill="1" applyBorder="1" applyAlignment="1">
      <alignment horizontal="right" vertical="center" wrapText="1"/>
    </xf>
    <xf numFmtId="0" fontId="10" fillId="4" borderId="1" xfId="0" applyFont="1" applyFill="1" applyBorder="1" applyAlignment="1">
      <alignment horizontal="left" vertical="center" wrapText="1"/>
    </xf>
    <xf numFmtId="0" fontId="2" fillId="0" borderId="1" xfId="0" applyFont="1" applyBorder="1" applyAlignment="1">
      <alignment horizontal="left" vertical="center" wrapText="1"/>
    </xf>
    <xf numFmtId="0" fontId="11"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8" fillId="8"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3" fillId="0" borderId="1" xfId="0" applyFont="1" applyBorder="1" applyAlignment="1">
      <alignment horizontal="left" vertical="center" wrapText="1"/>
    </xf>
    <xf numFmtId="0" fontId="1" fillId="0" borderId="0" xfId="0" applyFont="1" applyAlignment="1">
      <alignment vertical="center" wrapText="1"/>
    </xf>
    <xf numFmtId="0" fontId="15" fillId="0" borderId="0" xfId="0" applyFont="1" applyAlignment="1">
      <alignment vertical="center" wrapText="1"/>
    </xf>
    <xf numFmtId="0" fontId="18" fillId="5" borderId="1" xfId="0" applyFont="1" applyFill="1" applyBorder="1" applyAlignment="1">
      <alignment horizontal="center" vertical="center" wrapText="1"/>
    </xf>
    <xf numFmtId="0" fontId="2" fillId="0" borderId="0" xfId="0" applyFont="1" applyAlignment="1">
      <alignment horizontal="left" vertical="center" wrapText="1"/>
    </xf>
    <xf numFmtId="176" fontId="7" fillId="0" borderId="1" xfId="0" applyNumberFormat="1" applyFont="1" applyBorder="1" applyAlignment="1">
      <alignment horizontal="right" vertical="center" wrapText="1"/>
    </xf>
    <xf numFmtId="177" fontId="7" fillId="0" borderId="1" xfId="0" applyNumberFormat="1" applyFont="1" applyBorder="1" applyAlignment="1">
      <alignment horizontal="right" vertical="center" wrapText="1"/>
    </xf>
    <xf numFmtId="0" fontId="7" fillId="0" borderId="1" xfId="0" applyFont="1" applyBorder="1" applyAlignment="1">
      <alignment horizontal="right" vertical="center" wrapText="1"/>
    </xf>
    <xf numFmtId="0" fontId="1" fillId="0" borderId="0" xfId="0" applyFont="1" applyAlignment="1">
      <alignment horizontal="center" vertical="center" wrapText="1"/>
    </xf>
    <xf numFmtId="0" fontId="26" fillId="0" borderId="0" xfId="0" applyFont="1" applyAlignment="1">
      <alignment horizontal="left" vertical="center" wrapText="1"/>
    </xf>
    <xf numFmtId="0" fontId="28" fillId="0" borderId="0" xfId="0" applyFont="1" applyAlignment="1">
      <alignment horizontal="left" vertical="center" wrapText="1"/>
    </xf>
    <xf numFmtId="0" fontId="9" fillId="0" borderId="0" xfId="0" applyFont="1" applyAlignment="1">
      <alignment horizontal="left" vertical="center" wrapText="1"/>
    </xf>
    <xf numFmtId="0" fontId="28" fillId="0" borderId="0" xfId="0" applyFont="1" applyAlignment="1">
      <alignment vertical="center" wrapText="1"/>
    </xf>
    <xf numFmtId="0" fontId="9" fillId="0" borderId="0" xfId="0" applyFont="1" applyAlignment="1">
      <alignment vertical="center" wrapText="1"/>
    </xf>
    <xf numFmtId="0" fontId="11" fillId="3" borderId="1" xfId="0" applyFont="1" applyFill="1" applyBorder="1" applyAlignment="1">
      <alignment horizontal="center" vertical="center" wrapText="1"/>
    </xf>
    <xf numFmtId="0" fontId="10" fillId="0" borderId="1" xfId="0" applyFont="1" applyBorder="1" applyAlignment="1">
      <alignment horizontal="left" vertical="center" wrapText="1"/>
    </xf>
    <xf numFmtId="0" fontId="10" fillId="6"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12" fillId="0" borderId="1" xfId="0" applyFont="1" applyBorder="1" applyAlignment="1">
      <alignment horizontal="left" vertical="center" wrapText="1"/>
    </xf>
  </cellXfs>
  <cellStyles count="1">
    <cellStyle name="표준" xfId="0" builtinId="0"/>
  </cellStyles>
  <dxfs count="3">
    <dxf>
      <fill>
        <patternFill>
          <bgColor rgb="FFDDEBF7"/>
        </patternFill>
      </fill>
    </dxf>
    <dxf>
      <fill>
        <patternFill>
          <bgColor rgb="FFFCE4EC"/>
        </patternFill>
      </fill>
    </dxf>
    <dxf>
      <fill>
        <patternFill>
          <bgColor rgb="FFE7E7E7"/>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DDEBF7"/>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F2F2F2"/>
      <rgbColor rgb="FFE7E7E7"/>
      <rgbColor rgb="FFFBF3E4"/>
      <rgbColor rgb="FF99CCFF"/>
      <rgbColor rgb="FFFF99CC"/>
      <rgbColor rgb="FFCC99FF"/>
      <rgbColor rgb="FFFCE4EC"/>
      <rgbColor rgb="FF3366FF"/>
      <rgbColor rgb="FF33CCCC"/>
      <rgbColor rgb="FF99CC00"/>
      <rgbColor rgb="FFFFCC00"/>
      <rgbColor rgb="FFFF9900"/>
      <rgbColor rgb="FFFF6600"/>
      <rgbColor rgb="FF666699"/>
      <rgbColor rgb="FFA6A6A6"/>
      <rgbColor rgb="FF1F3864"/>
      <rgbColor rgb="FF339966"/>
      <rgbColor rgb="FF003300"/>
      <rgbColor rgb="FF333300"/>
      <rgbColor rgb="FF993300"/>
      <rgbColor rgb="FF993366"/>
      <rgbColor rgb="FF2E5C8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hyperlink" Target="https://www.insjournal.co.kr/news/articleView.html?idxno=26340" TargetMode="External"/><Relationship Id="rId3" Type="http://schemas.openxmlformats.org/officeDocument/2006/relationships/hyperlink" Target="https://dazabi.com/insurance_magazine/article.php?id=20601" TargetMode="External"/><Relationship Id="rId7" Type="http://schemas.openxmlformats.org/officeDocument/2006/relationships/hyperlink" Target="https://www.insjournal.co.kr/news/articleView.html?idxno=30554" TargetMode="External"/><Relationship Id="rId12" Type="http://schemas.openxmlformats.org/officeDocument/2006/relationships/printerSettings" Target="../printerSettings/printerSettings8.bin"/><Relationship Id="rId2" Type="http://schemas.openxmlformats.org/officeDocument/2006/relationships/hyperlink" Target="https://dazabi.com/insurance_magazine/article.php?id=25883" TargetMode="External"/><Relationship Id="rId1" Type="http://schemas.openxmlformats.org/officeDocument/2006/relationships/hyperlink" Target="https://www.insweek.co.kr/news/articleView.html?idxno=71493" TargetMode="External"/><Relationship Id="rId6" Type="http://schemas.openxmlformats.org/officeDocument/2006/relationships/hyperlink" Target="https://villagebaby.kr/care/&#44036;&#48337;&#48372;&#54744;-&#50756;&#51204;&#51221;&#47532;/" TargetMode="External"/><Relationship Id="rId11" Type="http://schemas.openxmlformats.org/officeDocument/2006/relationships/hyperlink" Target="https://dazabi.com/insurance_magazine/article.php?id=20298" TargetMode="External"/><Relationship Id="rId5" Type="http://schemas.openxmlformats.org/officeDocument/2006/relationships/hyperlink" Target="https://tilnote.io/en/pages/69db02566b890bb9dc86f13e" TargetMode="External"/><Relationship Id="rId10" Type="http://schemas.openxmlformats.org/officeDocument/2006/relationships/hyperlink" Target="https://www.banksalad.com/articles/&#50516;&#51452;&#50836;&#52824;&#47308;&#48708;-&#50516;&#52824;&#47308;&#48708;&#48372;&#54744;-&#54637;&#50516;&#52824;&#47308;&#48708;&#50857;" TargetMode="External"/><Relationship Id="rId4" Type="http://schemas.openxmlformats.org/officeDocument/2006/relationships/hyperlink" Target="https://kbthink.com/insurance/trend/5th-generation.html" TargetMode="External"/><Relationship Id="rId9" Type="http://schemas.openxmlformats.org/officeDocument/2006/relationships/hyperlink" Target="https://www.insjournal.co.kr/news/articleView.html?idxno=29067"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1"/>
  <sheetViews>
    <sheetView showGridLines="0" tabSelected="1" zoomScaleNormal="100" workbookViewId="0">
      <selection activeCell="A31" sqref="A31:XFD31"/>
    </sheetView>
  </sheetViews>
  <sheetFormatPr defaultColWidth="8.7109375" defaultRowHeight="15"/>
  <cols>
    <col min="1" max="1" width="2.28515625" customWidth="1"/>
    <col min="2" max="2" width="19" customWidth="1"/>
    <col min="3" max="6" width="16.140625" customWidth="1"/>
    <col min="7" max="7" width="19" customWidth="1"/>
    <col min="8" max="8" width="2.28515625" customWidth="1"/>
  </cols>
  <sheetData>
    <row r="1" spans="1:8" ht="26.25">
      <c r="A1" s="73" t="s">
        <v>239</v>
      </c>
      <c r="B1" s="73"/>
      <c r="C1" s="73"/>
      <c r="D1" s="73"/>
      <c r="E1" s="73"/>
      <c r="F1" s="73"/>
      <c r="G1" s="73"/>
      <c r="H1" s="73"/>
    </row>
    <row r="2" spans="1:8">
      <c r="A2" s="67"/>
      <c r="B2" s="67"/>
      <c r="C2" s="67"/>
      <c r="D2" s="67"/>
      <c r="E2" s="67"/>
      <c r="F2" s="67"/>
      <c r="G2" s="67"/>
      <c r="H2" s="67"/>
    </row>
    <row r="3" spans="1:8">
      <c r="A3" s="12"/>
      <c r="B3" s="12"/>
      <c r="C3" s="12"/>
      <c r="D3" s="12"/>
      <c r="E3" s="12"/>
      <c r="F3" s="12"/>
      <c r="G3" s="12"/>
      <c r="H3" s="12"/>
    </row>
    <row r="4" spans="1:8">
      <c r="A4" s="15"/>
      <c r="B4" s="16" t="s">
        <v>0</v>
      </c>
      <c r="C4" s="15"/>
      <c r="D4" s="15"/>
      <c r="E4" s="15"/>
      <c r="F4" s="15"/>
      <c r="G4" s="15"/>
      <c r="H4" s="15"/>
    </row>
    <row r="5" spans="1:8">
      <c r="A5" s="12"/>
      <c r="B5" s="6" t="s">
        <v>240</v>
      </c>
      <c r="C5" s="65" t="s">
        <v>241</v>
      </c>
      <c r="D5" s="65"/>
      <c r="E5" s="65"/>
      <c r="F5" s="65"/>
      <c r="G5" s="65"/>
      <c r="H5" s="12"/>
    </row>
    <row r="6" spans="1:8">
      <c r="A6" s="12"/>
      <c r="B6" s="6" t="s">
        <v>1</v>
      </c>
      <c r="C6" s="65" t="s">
        <v>2</v>
      </c>
      <c r="D6" s="65"/>
      <c r="E6" s="65"/>
      <c r="F6" s="65"/>
      <c r="G6" s="65"/>
      <c r="H6" s="12"/>
    </row>
    <row r="7" spans="1:8">
      <c r="A7" s="12"/>
      <c r="B7" s="6" t="s">
        <v>3</v>
      </c>
      <c r="C7" s="65" t="s">
        <v>4</v>
      </c>
      <c r="D7" s="65"/>
      <c r="E7" s="65"/>
      <c r="F7" s="65"/>
      <c r="G7" s="65"/>
      <c r="H7" s="12"/>
    </row>
    <row r="8" spans="1:8">
      <c r="A8" s="12"/>
      <c r="B8" s="6" t="s">
        <v>5</v>
      </c>
      <c r="C8" s="65" t="s">
        <v>242</v>
      </c>
      <c r="D8" s="65"/>
      <c r="E8" s="65"/>
      <c r="F8" s="65"/>
      <c r="G8" s="65"/>
      <c r="H8" s="12"/>
    </row>
    <row r="9" spans="1:8">
      <c r="A9" s="12"/>
      <c r="B9" s="6" t="s">
        <v>6</v>
      </c>
      <c r="C9" s="65" t="s">
        <v>688</v>
      </c>
      <c r="D9" s="65"/>
      <c r="E9" s="65"/>
      <c r="F9" s="65"/>
      <c r="G9" s="65"/>
      <c r="H9" s="12"/>
    </row>
    <row r="10" spans="1:8">
      <c r="A10" s="12"/>
      <c r="B10" s="12"/>
      <c r="C10" s="12"/>
      <c r="D10" s="12"/>
      <c r="E10" s="12"/>
      <c r="F10" s="12"/>
      <c r="G10" s="12"/>
      <c r="H10" s="12"/>
    </row>
    <row r="11" spans="1:8">
      <c r="A11" s="15"/>
      <c r="B11" s="16" t="s">
        <v>7</v>
      </c>
      <c r="C11" s="15"/>
      <c r="D11" s="15"/>
      <c r="E11" s="15"/>
      <c r="F11" s="15"/>
      <c r="G11" s="15"/>
      <c r="H11" s="15"/>
    </row>
    <row r="12" spans="1:8">
      <c r="A12" s="12"/>
      <c r="B12" s="6" t="s">
        <v>8</v>
      </c>
      <c r="C12" s="72" t="str">
        <f>TEXT(COUNTA('2.계약현황'!B6:B8),"0")&amp;"건 (전부 현대해상, 정상계약)"</f>
        <v>3건 (전부 현대해상, 정상계약)</v>
      </c>
      <c r="D12" s="72"/>
      <c r="E12" s="72"/>
      <c r="F12" s="72"/>
      <c r="G12" s="72"/>
      <c r="H12" s="12"/>
    </row>
    <row r="13" spans="1:8">
      <c r="A13" s="12"/>
      <c r="B13" s="6" t="s">
        <v>9</v>
      </c>
      <c r="C13" s="70">
        <f>'2.계약현황'!I10</f>
        <v>119550</v>
      </c>
      <c r="D13" s="70"/>
      <c r="E13" s="70"/>
      <c r="F13" s="70"/>
      <c r="G13" s="70"/>
      <c r="H13" s="12"/>
    </row>
    <row r="14" spans="1:8" ht="24">
      <c r="A14" s="12"/>
      <c r="B14" s="6" t="s">
        <v>689</v>
      </c>
      <c r="C14" s="70">
        <f>'2.계약현황'!J10</f>
        <v>29050800</v>
      </c>
      <c r="D14" s="70"/>
      <c r="E14" s="70"/>
      <c r="F14" s="70"/>
      <c r="G14" s="70"/>
      <c r="H14" s="12"/>
    </row>
    <row r="15" spans="1:8">
      <c r="A15" s="12"/>
      <c r="B15" s="6" t="s">
        <v>10</v>
      </c>
      <c r="C15" s="70">
        <f>'2.계약현황'!K10</f>
        <v>16118610</v>
      </c>
      <c r="D15" s="70"/>
      <c r="E15" s="70"/>
      <c r="F15" s="70"/>
      <c r="G15" s="70"/>
      <c r="H15" s="12"/>
    </row>
    <row r="16" spans="1:8">
      <c r="A16" s="12"/>
      <c r="B16" s="6" t="s">
        <v>243</v>
      </c>
      <c r="C16" s="70">
        <f>'2.계약현황'!L10</f>
        <v>12932190</v>
      </c>
      <c r="D16" s="70"/>
      <c r="E16" s="70"/>
      <c r="F16" s="70"/>
      <c r="G16" s="70"/>
      <c r="H16" s="12"/>
    </row>
    <row r="17" spans="1:8">
      <c r="A17" s="12"/>
      <c r="B17" s="6" t="s">
        <v>11</v>
      </c>
      <c r="C17" s="71">
        <f>'2.계약현황'!M10</f>
        <v>0.55484220744351276</v>
      </c>
      <c r="D17" s="71"/>
      <c r="E17" s="71"/>
      <c r="F17" s="71"/>
      <c r="G17" s="71"/>
      <c r="H17" s="12"/>
    </row>
    <row r="18" spans="1:8">
      <c r="A18" s="12"/>
      <c r="B18" s="12"/>
      <c r="C18" s="12"/>
      <c r="D18" s="12"/>
      <c r="E18" s="12"/>
      <c r="F18" s="12"/>
      <c r="G18" s="12"/>
      <c r="H18" s="12"/>
    </row>
    <row r="19" spans="1:8" ht="24">
      <c r="A19" s="15"/>
      <c r="B19" s="16" t="s">
        <v>244</v>
      </c>
      <c r="C19" s="15"/>
      <c r="D19" s="15"/>
      <c r="E19" s="15"/>
      <c r="F19" s="15"/>
      <c r="G19" s="15"/>
      <c r="H19" s="15"/>
    </row>
    <row r="20" spans="1:8">
      <c r="A20" s="7"/>
      <c r="B20" s="7" t="s">
        <v>12</v>
      </c>
      <c r="C20" s="7" t="s">
        <v>13</v>
      </c>
      <c r="D20" s="7" t="s">
        <v>14</v>
      </c>
      <c r="E20" s="7" t="s">
        <v>15</v>
      </c>
      <c r="F20" s="7" t="s">
        <v>16</v>
      </c>
      <c r="G20" s="7"/>
      <c r="H20" s="12"/>
    </row>
    <row r="21" spans="1:8">
      <c r="A21" s="12"/>
      <c r="B21" s="8" t="s">
        <v>17</v>
      </c>
      <c r="C21" s="9">
        <f>COUNTIF('3.보장분석(메인)'!$K$6:$K$200,"충분")</f>
        <v>10</v>
      </c>
      <c r="D21" s="9">
        <f>COUNTIF('3.보장분석(메인)'!$K$6:$K$200,"부족")</f>
        <v>10</v>
      </c>
      <c r="E21" s="9">
        <f>COUNTIF('3.보장분석(메인)'!$K$6:$K$200,"미가입")</f>
        <v>20</v>
      </c>
      <c r="F21" s="10">
        <f>SUM(C21:E21)</f>
        <v>40</v>
      </c>
      <c r="G21" s="14"/>
      <c r="H21" s="12"/>
    </row>
    <row r="22" spans="1:8">
      <c r="A22" s="12"/>
      <c r="B22" s="12"/>
      <c r="C22" s="12"/>
      <c r="D22" s="12"/>
      <c r="E22" s="12"/>
      <c r="F22" s="12"/>
      <c r="G22" s="12"/>
      <c r="H22" s="12"/>
    </row>
    <row r="23" spans="1:8">
      <c r="A23" s="15"/>
      <c r="B23" s="16" t="s">
        <v>245</v>
      </c>
      <c r="C23" s="15"/>
      <c r="D23" s="15"/>
      <c r="E23" s="15"/>
      <c r="F23" s="15"/>
      <c r="G23" s="15"/>
      <c r="H23" s="15"/>
    </row>
    <row r="24" spans="1:8" ht="33" customHeight="1">
      <c r="A24" s="12"/>
      <c r="B24" s="11" t="s">
        <v>18</v>
      </c>
      <c r="C24" s="65" t="s">
        <v>246</v>
      </c>
      <c r="D24" s="65"/>
      <c r="E24" s="65"/>
      <c r="F24" s="65"/>
      <c r="G24" s="65"/>
      <c r="H24" s="12"/>
    </row>
    <row r="25" spans="1:8" ht="33" customHeight="1">
      <c r="A25" s="12"/>
      <c r="B25" s="11" t="s">
        <v>19</v>
      </c>
      <c r="C25" s="65" t="s">
        <v>247</v>
      </c>
      <c r="D25" s="65"/>
      <c r="E25" s="65"/>
      <c r="F25" s="65"/>
      <c r="G25" s="65"/>
      <c r="H25" s="12"/>
    </row>
    <row r="26" spans="1:8" ht="33" customHeight="1">
      <c r="A26" s="12"/>
      <c r="B26" s="11" t="s">
        <v>248</v>
      </c>
      <c r="C26" s="65" t="s">
        <v>249</v>
      </c>
      <c r="D26" s="65"/>
      <c r="E26" s="65"/>
      <c r="F26" s="65"/>
      <c r="G26" s="65"/>
      <c r="H26" s="12"/>
    </row>
    <row r="27" spans="1:8" ht="33" customHeight="1">
      <c r="A27" s="12"/>
      <c r="B27" s="11" t="s">
        <v>20</v>
      </c>
      <c r="C27" s="65" t="s">
        <v>250</v>
      </c>
      <c r="D27" s="65"/>
      <c r="E27" s="65"/>
      <c r="F27" s="65"/>
      <c r="G27" s="65"/>
      <c r="H27" s="12"/>
    </row>
    <row r="28" spans="1:8" ht="33" customHeight="1">
      <c r="A28" s="12"/>
      <c r="B28" s="11" t="s">
        <v>21</v>
      </c>
      <c r="C28" s="65" t="s">
        <v>251</v>
      </c>
      <c r="D28" s="65"/>
      <c r="E28" s="65"/>
      <c r="F28" s="65"/>
      <c r="G28" s="65"/>
      <c r="H28" s="12"/>
    </row>
    <row r="29" spans="1:8" ht="33" customHeight="1">
      <c r="A29" s="12"/>
      <c r="B29" s="11" t="s">
        <v>22</v>
      </c>
      <c r="C29" s="65" t="s">
        <v>252</v>
      </c>
      <c r="D29" s="65"/>
      <c r="E29" s="65"/>
      <c r="F29" s="65"/>
      <c r="G29" s="65"/>
      <c r="H29" s="12"/>
    </row>
    <row r="30" spans="1:8">
      <c r="A30" s="12"/>
      <c r="B30" s="12"/>
      <c r="C30" s="12"/>
      <c r="D30" s="12"/>
      <c r="E30" s="12"/>
      <c r="F30" s="12"/>
      <c r="G30" s="12"/>
      <c r="H30" s="12"/>
    </row>
    <row r="31" spans="1:8" ht="46.5" customHeight="1">
      <c r="A31" s="12"/>
      <c r="B31" s="69" t="s">
        <v>253</v>
      </c>
      <c r="C31" s="69"/>
      <c r="D31" s="69"/>
      <c r="E31" s="69"/>
      <c r="F31" s="69"/>
      <c r="G31" s="69"/>
      <c r="H31" s="12"/>
    </row>
  </sheetData>
  <mergeCells count="20">
    <mergeCell ref="A1:H1"/>
    <mergeCell ref="A2:H2"/>
    <mergeCell ref="C5:G5"/>
    <mergeCell ref="C6:G6"/>
    <mergeCell ref="C7:G7"/>
    <mergeCell ref="C8:G8"/>
    <mergeCell ref="C9:G9"/>
    <mergeCell ref="C12:G12"/>
    <mergeCell ref="C13:G13"/>
    <mergeCell ref="C14:G14"/>
    <mergeCell ref="C15:G15"/>
    <mergeCell ref="C16:G16"/>
    <mergeCell ref="C17:G17"/>
    <mergeCell ref="C24:G24"/>
    <mergeCell ref="C25:G25"/>
    <mergeCell ref="C26:G26"/>
    <mergeCell ref="C27:G27"/>
    <mergeCell ref="C28:G28"/>
    <mergeCell ref="C29:G29"/>
    <mergeCell ref="B31:G31"/>
  </mergeCells>
  <phoneticPr fontId="13" type="noConversion"/>
  <printOptions horizontalCentered="1"/>
  <pageMargins left="0.75" right="0.75" top="1" bottom="1" header="0.511811023622047" footer="0.511811023622047"/>
  <pageSetup paperSize="9" scale="80" orientation="portrait" horizontalDpi="300"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5"/>
  <sheetViews>
    <sheetView showGridLines="0" view="pageBreakPreview" zoomScale="60" zoomScaleNormal="100" workbookViewId="0">
      <selection sqref="A1:N1"/>
    </sheetView>
  </sheetViews>
  <sheetFormatPr defaultColWidth="8.7109375" defaultRowHeight="15"/>
  <cols>
    <col min="1" max="1" width="2.28515625" customWidth="1"/>
    <col min="2" max="2" width="8" customWidth="1"/>
    <col min="3" max="3" width="30.42578125" customWidth="1"/>
    <col min="4" max="5" width="10.42578125" customWidth="1"/>
    <col min="6" max="6" width="8" customWidth="1"/>
    <col min="7" max="8" width="11" customWidth="1"/>
    <col min="9" max="9" width="12.42578125" customWidth="1"/>
    <col min="10" max="12" width="13.7109375" customWidth="1"/>
    <col min="13" max="13" width="11.85546875" customWidth="1"/>
    <col min="14" max="14" width="28.5703125" customWidth="1"/>
  </cols>
  <sheetData>
    <row r="1" spans="1:14" ht="26.25">
      <c r="A1" s="66" t="s">
        <v>254</v>
      </c>
      <c r="B1" s="66"/>
      <c r="C1" s="66"/>
      <c r="D1" s="66"/>
      <c r="E1" s="66"/>
      <c r="F1" s="66"/>
      <c r="G1" s="66"/>
      <c r="H1" s="66"/>
      <c r="I1" s="66"/>
      <c r="J1" s="66"/>
      <c r="K1" s="66"/>
      <c r="L1" s="66"/>
      <c r="M1" s="66"/>
      <c r="N1" s="66"/>
    </row>
    <row r="2" spans="1:14">
      <c r="A2" s="67" t="s">
        <v>255</v>
      </c>
      <c r="B2" s="67"/>
      <c r="C2" s="67"/>
      <c r="D2" s="67"/>
      <c r="E2" s="67"/>
      <c r="F2" s="67"/>
      <c r="G2" s="67"/>
      <c r="H2" s="67"/>
      <c r="I2" s="67"/>
      <c r="J2" s="67"/>
      <c r="K2" s="67"/>
      <c r="L2" s="67"/>
      <c r="M2" s="67"/>
      <c r="N2" s="67"/>
    </row>
    <row r="3" spans="1:14">
      <c r="A3" s="12"/>
      <c r="B3" s="12"/>
      <c r="C3" s="12"/>
      <c r="D3" s="12"/>
      <c r="E3" s="12"/>
      <c r="F3" s="12"/>
      <c r="G3" s="12"/>
      <c r="H3" s="12"/>
      <c r="I3" s="12"/>
      <c r="J3" s="12"/>
      <c r="K3" s="12"/>
      <c r="L3" s="12"/>
      <c r="M3" s="22" t="s">
        <v>23</v>
      </c>
      <c r="N3" s="18">
        <v>46247</v>
      </c>
    </row>
    <row r="4" spans="1:14">
      <c r="A4" s="12"/>
      <c r="B4" s="12"/>
      <c r="C4" s="12"/>
      <c r="D4" s="12"/>
      <c r="E4" s="12"/>
      <c r="F4" s="12"/>
      <c r="G4" s="12"/>
      <c r="H4" s="12"/>
      <c r="I4" s="12"/>
      <c r="J4" s="12"/>
      <c r="K4" s="12"/>
      <c r="L4" s="12"/>
      <c r="M4" s="12"/>
      <c r="N4" s="12"/>
    </row>
    <row r="5" spans="1:14" ht="24">
      <c r="A5" s="7"/>
      <c r="B5" s="7" t="s">
        <v>24</v>
      </c>
      <c r="C5" s="7" t="s">
        <v>256</v>
      </c>
      <c r="D5" s="7" t="s">
        <v>25</v>
      </c>
      <c r="E5" s="7" t="s">
        <v>26</v>
      </c>
      <c r="F5" s="7" t="s">
        <v>27</v>
      </c>
      <c r="G5" s="7" t="s">
        <v>28</v>
      </c>
      <c r="H5" s="7" t="s">
        <v>29</v>
      </c>
      <c r="I5" s="7" t="s">
        <v>30</v>
      </c>
      <c r="J5" s="7" t="s">
        <v>31</v>
      </c>
      <c r="K5" s="7" t="s">
        <v>10</v>
      </c>
      <c r="L5" s="7" t="s">
        <v>32</v>
      </c>
      <c r="M5" s="7" t="s">
        <v>11</v>
      </c>
      <c r="N5" s="7" t="s">
        <v>257</v>
      </c>
    </row>
    <row r="6" spans="1:14" ht="36">
      <c r="A6" s="12"/>
      <c r="B6" s="19" t="s">
        <v>258</v>
      </c>
      <c r="C6" s="3" t="s">
        <v>259</v>
      </c>
      <c r="D6" s="20">
        <v>40535</v>
      </c>
      <c r="E6" s="20">
        <v>69755</v>
      </c>
      <c r="F6" s="1" t="s">
        <v>33</v>
      </c>
      <c r="G6" s="1" t="s">
        <v>260</v>
      </c>
      <c r="H6" s="1" t="s">
        <v>261</v>
      </c>
      <c r="I6" s="23">
        <v>56300</v>
      </c>
      <c r="J6" s="24">
        <f>$I6*25*12</f>
        <v>16890000</v>
      </c>
      <c r="K6" s="24">
        <f>$I6*MIN(25*12,DATEDIF($D6,$N$3,"m")+1)</f>
        <v>10584400</v>
      </c>
      <c r="L6" s="24">
        <f>$J6-$K6</f>
        <v>6305600</v>
      </c>
      <c r="M6" s="25">
        <f>IFERROR($K6/$J6,0)</f>
        <v>0.62666666666666671</v>
      </c>
      <c r="N6" s="3" t="s">
        <v>262</v>
      </c>
    </row>
    <row r="7" spans="1:14" ht="36">
      <c r="A7" s="12"/>
      <c r="B7" s="19" t="s">
        <v>263</v>
      </c>
      <c r="C7" s="3" t="s">
        <v>264</v>
      </c>
      <c r="D7" s="20">
        <v>43059</v>
      </c>
      <c r="E7" s="20">
        <v>62417</v>
      </c>
      <c r="F7" s="1" t="s">
        <v>33</v>
      </c>
      <c r="G7" s="1" t="s">
        <v>265</v>
      </c>
      <c r="H7" s="1" t="s">
        <v>266</v>
      </c>
      <c r="I7" s="23">
        <v>12930</v>
      </c>
      <c r="J7" s="24">
        <f>$I7*20*12</f>
        <v>3103200</v>
      </c>
      <c r="K7" s="24">
        <f>$I7*MIN(20*12,DATEDIF($D7,$N$3,"m")+1)</f>
        <v>1357650</v>
      </c>
      <c r="L7" s="24">
        <f>$J7-$K7</f>
        <v>1745550</v>
      </c>
      <c r="M7" s="25">
        <f>IFERROR($K7/$J7,0)</f>
        <v>0.4375</v>
      </c>
      <c r="N7" s="3" t="s">
        <v>267</v>
      </c>
    </row>
    <row r="8" spans="1:14" ht="36">
      <c r="A8" s="12"/>
      <c r="B8" s="19" t="s">
        <v>268</v>
      </c>
      <c r="C8" s="3" t="s">
        <v>269</v>
      </c>
      <c r="D8" s="20">
        <v>43739</v>
      </c>
      <c r="E8" s="20">
        <v>49218</v>
      </c>
      <c r="F8" s="1" t="s">
        <v>33</v>
      </c>
      <c r="G8" s="1" t="s">
        <v>270</v>
      </c>
      <c r="H8" s="1" t="s">
        <v>271</v>
      </c>
      <c r="I8" s="23">
        <v>50320</v>
      </c>
      <c r="J8" s="24">
        <f>$I8*15*12</f>
        <v>9057600</v>
      </c>
      <c r="K8" s="24">
        <f>$I8*MIN(15*12,DATEDIF($D8,$N$3,"m")+1)</f>
        <v>4176560</v>
      </c>
      <c r="L8" s="24">
        <f>$J8-$K8</f>
        <v>4881040</v>
      </c>
      <c r="M8" s="25">
        <f>IFERROR($K8/$J8,0)</f>
        <v>0.46111111111111114</v>
      </c>
      <c r="N8" s="3" t="s">
        <v>272</v>
      </c>
    </row>
    <row r="9" spans="1:14">
      <c r="A9" s="12"/>
      <c r="B9" s="14"/>
      <c r="C9" s="26" t="s">
        <v>273</v>
      </c>
      <c r="D9" s="14"/>
      <c r="E9" s="14"/>
      <c r="F9" s="14"/>
      <c r="G9" s="14"/>
      <c r="H9" s="14"/>
      <c r="I9" s="14"/>
      <c r="J9" s="14"/>
      <c r="K9" s="14"/>
      <c r="L9" s="14"/>
      <c r="M9" s="14"/>
      <c r="N9" s="14"/>
    </row>
    <row r="10" spans="1:14">
      <c r="A10" s="12"/>
      <c r="B10" s="68" t="s">
        <v>34</v>
      </c>
      <c r="C10" s="68"/>
      <c r="D10" s="68"/>
      <c r="E10" s="68"/>
      <c r="F10" s="68"/>
      <c r="G10" s="68"/>
      <c r="H10" s="68"/>
      <c r="I10" s="27">
        <f>SUM(I6:I9)</f>
        <v>119550</v>
      </c>
      <c r="J10" s="27">
        <f>SUM(J6:J9)</f>
        <v>29050800</v>
      </c>
      <c r="K10" s="27">
        <f>SUM(K6:K9)</f>
        <v>16118610</v>
      </c>
      <c r="L10" s="27">
        <f>SUM(L6:L9)</f>
        <v>12932190</v>
      </c>
      <c r="M10" s="28">
        <f>IFERROR(K10/J10,0)</f>
        <v>0.55484220744351276</v>
      </c>
      <c r="N10" s="21"/>
    </row>
    <row r="11" spans="1:14">
      <c r="A11" s="12"/>
      <c r="B11" s="12"/>
      <c r="C11" s="12"/>
      <c r="D11" s="12"/>
      <c r="E11" s="12"/>
      <c r="F11" s="12"/>
      <c r="G11" s="12"/>
      <c r="H11" s="12"/>
      <c r="I11" s="12"/>
      <c r="J11" s="12"/>
      <c r="K11" s="12"/>
      <c r="L11" s="12"/>
      <c r="M11" s="12"/>
      <c r="N11" s="12"/>
    </row>
    <row r="12" spans="1:14" ht="24">
      <c r="A12" s="12"/>
      <c r="B12" s="17" t="s">
        <v>35</v>
      </c>
      <c r="C12" s="65" t="s">
        <v>274</v>
      </c>
      <c r="D12" s="65"/>
      <c r="E12" s="65"/>
      <c r="F12" s="65"/>
      <c r="G12" s="65"/>
      <c r="H12" s="65"/>
      <c r="I12" s="65"/>
      <c r="J12" s="65"/>
      <c r="K12" s="65"/>
      <c r="L12" s="65"/>
      <c r="M12" s="65"/>
      <c r="N12" s="65"/>
    </row>
    <row r="13" spans="1:14" ht="24">
      <c r="A13" s="12"/>
      <c r="B13" s="17" t="s">
        <v>36</v>
      </c>
      <c r="C13" s="65" t="s">
        <v>275</v>
      </c>
      <c r="D13" s="65"/>
      <c r="E13" s="65"/>
      <c r="F13" s="65"/>
      <c r="G13" s="65"/>
      <c r="H13" s="65"/>
      <c r="I13" s="65"/>
      <c r="J13" s="65"/>
      <c r="K13" s="65"/>
      <c r="L13" s="65"/>
      <c r="M13" s="65"/>
      <c r="N13" s="65"/>
    </row>
    <row r="14" spans="1:14" ht="24">
      <c r="A14" s="12"/>
      <c r="B14" s="17" t="s">
        <v>37</v>
      </c>
      <c r="C14" s="65" t="s">
        <v>276</v>
      </c>
      <c r="D14" s="65"/>
      <c r="E14" s="65"/>
      <c r="F14" s="65"/>
      <c r="G14" s="65"/>
      <c r="H14" s="65"/>
      <c r="I14" s="65"/>
      <c r="J14" s="65"/>
      <c r="K14" s="65"/>
      <c r="L14" s="65"/>
      <c r="M14" s="65"/>
      <c r="N14" s="65"/>
    </row>
    <row r="15" spans="1:14" ht="24">
      <c r="A15" s="12"/>
      <c r="B15" s="17" t="s">
        <v>38</v>
      </c>
      <c r="C15" s="65" t="s">
        <v>277</v>
      </c>
      <c r="D15" s="65"/>
      <c r="E15" s="65"/>
      <c r="F15" s="65"/>
      <c r="G15" s="65"/>
      <c r="H15" s="65"/>
      <c r="I15" s="65"/>
      <c r="J15" s="65"/>
      <c r="K15" s="65"/>
      <c r="L15" s="65"/>
      <c r="M15" s="65"/>
      <c r="N15" s="65"/>
    </row>
  </sheetData>
  <mergeCells count="7">
    <mergeCell ref="C14:N14"/>
    <mergeCell ref="C15:N15"/>
    <mergeCell ref="A1:N1"/>
    <mergeCell ref="A2:N2"/>
    <mergeCell ref="B10:H10"/>
    <mergeCell ref="C12:N12"/>
    <mergeCell ref="C13:N13"/>
  </mergeCells>
  <phoneticPr fontId="13" type="noConversion"/>
  <printOptions horizontalCentered="1"/>
  <pageMargins left="0.75" right="0.75" top="1" bottom="1" header="0.511811023622047" footer="0.511811023622047"/>
  <pageSetup paperSize="9" scale="69"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04"/>
  <sheetViews>
    <sheetView showGridLines="0" zoomScaleNormal="100" workbookViewId="0">
      <pane xSplit="4" ySplit="5" topLeftCell="E71" activePane="bottomRight" state="frozen"/>
      <selection pane="topRight" activeCell="E1" sqref="E1"/>
      <selection pane="bottomLeft" activeCell="A6" sqref="A6"/>
      <selection pane="bottomRight" sqref="A1:O1"/>
    </sheetView>
  </sheetViews>
  <sheetFormatPr defaultColWidth="8.7109375" defaultRowHeight="15"/>
  <cols>
    <col min="1" max="1" width="2.28515625" customWidth="1"/>
    <col min="2" max="2" width="9.85546875" customWidth="1"/>
    <col min="3" max="3" width="24.7109375" customWidth="1"/>
    <col min="4" max="4" width="8" customWidth="1"/>
    <col min="5" max="7" width="9.85546875" customWidth="1"/>
    <col min="8" max="8" width="11" customWidth="1"/>
    <col min="9" max="10" width="10.42578125" customWidth="1"/>
    <col min="11" max="11" width="9.140625" customWidth="1"/>
    <col min="12" max="13" width="11" customWidth="1"/>
    <col min="14" max="15" width="34.28515625" customWidth="1"/>
  </cols>
  <sheetData>
    <row r="1" spans="1:15" ht="26.25">
      <c r="A1" s="66" t="s">
        <v>278</v>
      </c>
      <c r="B1" s="66"/>
      <c r="C1" s="66"/>
      <c r="D1" s="66"/>
      <c r="E1" s="66"/>
      <c r="F1" s="66"/>
      <c r="G1" s="66"/>
      <c r="H1" s="66"/>
      <c r="I1" s="66"/>
      <c r="J1" s="66"/>
      <c r="K1" s="66"/>
      <c r="L1" s="66"/>
      <c r="M1" s="66"/>
      <c r="N1" s="66"/>
      <c r="O1" s="66"/>
    </row>
    <row r="2" spans="1:15">
      <c r="A2" s="67" t="s">
        <v>279</v>
      </c>
      <c r="B2" s="67"/>
      <c r="C2" s="67"/>
      <c r="D2" s="67"/>
      <c r="E2" s="67"/>
      <c r="F2" s="67"/>
      <c r="G2" s="67"/>
      <c r="H2" s="67"/>
      <c r="I2" s="67"/>
      <c r="J2" s="67"/>
      <c r="K2" s="67"/>
      <c r="L2" s="67"/>
      <c r="M2" s="67"/>
      <c r="N2" s="67"/>
      <c r="O2" s="67"/>
    </row>
    <row r="3" spans="1:15">
      <c r="A3" s="12"/>
      <c r="B3" s="12"/>
      <c r="C3" s="12"/>
      <c r="D3" s="12"/>
      <c r="E3" s="12"/>
      <c r="F3" s="12"/>
      <c r="G3" s="12"/>
      <c r="H3" s="12"/>
      <c r="I3" s="12"/>
      <c r="J3" s="12"/>
      <c r="K3" s="12"/>
      <c r="L3" s="12"/>
      <c r="M3" s="12"/>
      <c r="N3" s="12"/>
      <c r="O3" s="12"/>
    </row>
    <row r="4" spans="1:15">
      <c r="A4" s="12"/>
      <c r="B4" s="12"/>
      <c r="C4" s="31" t="s">
        <v>280</v>
      </c>
      <c r="D4" s="12"/>
      <c r="E4" s="29">
        <v>1</v>
      </c>
      <c r="F4" s="29">
        <v>2</v>
      </c>
      <c r="G4" s="29">
        <v>3</v>
      </c>
      <c r="H4" s="12"/>
      <c r="I4" s="12"/>
      <c r="J4" s="12"/>
      <c r="K4" s="12"/>
      <c r="L4" s="12"/>
      <c r="M4" s="12"/>
      <c r="N4" s="12"/>
      <c r="O4" s="12"/>
    </row>
    <row r="5" spans="1:15" ht="36">
      <c r="A5" s="7"/>
      <c r="B5" s="7" t="s">
        <v>39</v>
      </c>
      <c r="C5" s="7" t="s">
        <v>40</v>
      </c>
      <c r="D5" s="7" t="s">
        <v>41</v>
      </c>
      <c r="E5" s="7" t="s">
        <v>258</v>
      </c>
      <c r="F5" s="7" t="s">
        <v>263</v>
      </c>
      <c r="G5" s="7" t="s">
        <v>268</v>
      </c>
      <c r="H5" s="7" t="s">
        <v>281</v>
      </c>
      <c r="I5" s="7" t="s">
        <v>282</v>
      </c>
      <c r="J5" s="7" t="s">
        <v>42</v>
      </c>
      <c r="K5" s="7" t="s">
        <v>43</v>
      </c>
      <c r="L5" s="30" t="s">
        <v>283</v>
      </c>
      <c r="M5" s="30" t="s">
        <v>44</v>
      </c>
      <c r="N5" s="7" t="s">
        <v>284</v>
      </c>
      <c r="O5" s="7" t="s">
        <v>285</v>
      </c>
    </row>
    <row r="6" spans="1:15" ht="36">
      <c r="A6" s="12"/>
      <c r="B6" s="32" t="str">
        <f>IF('4.담보마스터'!C5="","",'4.담보마스터'!C5)</f>
        <v>사망</v>
      </c>
      <c r="C6" s="33" t="str">
        <f>IF('4.담보마스터'!D5="","",'4.담보마스터'!D5)</f>
        <v>일반(종신)사망</v>
      </c>
      <c r="D6" s="32" t="str">
        <f>IF('4.담보마스터'!E5="","",'4.담보마스터'!E5)</f>
        <v>만원</v>
      </c>
      <c r="E6" s="34">
        <f>IF($C6="","",SUMIFS('5.담보원장'!$G$5:$G$68,'5.담보원장'!$F$5:$F$68,$C6,'5.담보원장'!$B$5:$B$68,E$4))</f>
        <v>0</v>
      </c>
      <c r="F6" s="34">
        <f>IF($C6="","",SUMIFS('5.담보원장'!$G$5:$G$68,'5.담보원장'!$F$5:$F$68,$C6,'5.담보원장'!$B$5:$B$68,F$4))</f>
        <v>0</v>
      </c>
      <c r="G6" s="34">
        <f>IF($C6="","",SUMIFS('5.담보원장'!$G$5:$G$68,'5.담보원장'!$F$5:$F$68,$C6,'5.담보원장'!$B$5:$B$68,G$4))</f>
        <v>0</v>
      </c>
      <c r="H6" s="35">
        <f t="shared" ref="H6:H37" si="0">IF($C6="","",SUM(E6:G6))</f>
        <v>0</v>
      </c>
      <c r="I6" s="34">
        <f>IF('4.담보마스터'!F5="","",'4.담보마스터'!F5)</f>
        <v>10000</v>
      </c>
      <c r="J6" s="34">
        <f t="shared" ref="J6:J37" si="1">IF(OR($C6="",$I6=""),"",$H6-$I6)</f>
        <v>-10000</v>
      </c>
      <c r="K6" s="36" t="str">
        <f t="shared" ref="K6:K37" si="2">IF($C6="","",IF($I6="","－",IF($H6=0,"미가입",IF($H6&gt;=$I6,"충분","부족"))))</f>
        <v>미가입</v>
      </c>
      <c r="L6" s="37" t="str">
        <f>IF('4.담보마스터'!G5="","",'4.담보마스터'!G5)</f>
        <v/>
      </c>
      <c r="M6" s="37" t="str">
        <f t="shared" ref="M6:M37" si="3">IF(OR($C6="",$L6=""),"",$H6-$L6)</f>
        <v/>
      </c>
      <c r="N6" s="3" t="str">
        <f>IF('4.담보마스터'!H5="","",'4.담보마스터'!H5)</f>
        <v>종신사망 자체는 정체. 사망보험금 유동화(연금·요양비 전환) 제도 도입으로 활용도 재조명</v>
      </c>
      <c r="O6" s="3" t="str">
        <f>IF('4.담보마스터'!I5="","",'4.담보마스터'!I5)</f>
        <v>미가입. 손보 종합보험에는 통상 미탑재 — 필요 시 생보 종신/정기로 보완 영역</v>
      </c>
    </row>
    <row r="7" spans="1:15" ht="24">
      <c r="A7" s="12"/>
      <c r="B7" s="32" t="str">
        <f>IF('4.담보마스터'!C6="","",'4.담보마스터'!C6)</f>
        <v>사망</v>
      </c>
      <c r="C7" s="33" t="str">
        <f>IF('4.담보마스터'!D6="","",'4.담보마스터'!D6)</f>
        <v>질병(정기)사망</v>
      </c>
      <c r="D7" s="32" t="str">
        <f>IF('4.담보마스터'!E6="","",'4.담보마스터'!E6)</f>
        <v>만원</v>
      </c>
      <c r="E7" s="34">
        <f>IF($C7="","",SUMIFS('5.담보원장'!$G$5:$G$68,'5.담보원장'!$F$5:$F$68,$C7,'5.담보원장'!$B$5:$B$68,E$4))</f>
        <v>0</v>
      </c>
      <c r="F7" s="34">
        <f>IF($C7="","",SUMIFS('5.담보원장'!$G$5:$G$68,'5.담보원장'!$F$5:$F$68,$C7,'5.담보원장'!$B$5:$B$68,F$4))</f>
        <v>0</v>
      </c>
      <c r="G7" s="34">
        <f>IF($C7="","",SUMIFS('5.담보원장'!$G$5:$G$68,'5.담보원장'!$F$5:$F$68,$C7,'5.담보원장'!$B$5:$B$68,G$4))</f>
        <v>0</v>
      </c>
      <c r="H7" s="35">
        <f t="shared" si="0"/>
        <v>0</v>
      </c>
      <c r="I7" s="34">
        <f>IF('4.담보마스터'!F6="","",'4.담보마스터'!F6)</f>
        <v>10000</v>
      </c>
      <c r="J7" s="34">
        <f t="shared" si="1"/>
        <v>-10000</v>
      </c>
      <c r="K7" s="36" t="str">
        <f t="shared" si="2"/>
        <v>미가입</v>
      </c>
      <c r="L7" s="37">
        <f>IF('4.담보마스터'!G6="","",'4.담보마스터'!G6)</f>
        <v>10000</v>
      </c>
      <c r="M7" s="37">
        <f t="shared" si="3"/>
        <v>-10000</v>
      </c>
      <c r="N7" s="3" t="str">
        <f>IF('4.담보마스터'!H6="","",'4.담보마스터'!H6)</f>
        <v>80세·90세 만기 정기형 질병사망이 주류. 종신형 대비 보험료 1/3 수준</v>
      </c>
      <c r="O7" s="3" t="str">
        <f>IF('4.담보마스터'!I6="","",'4.담보마스터'!I6)</f>
        <v>미가입 (권장 1억 대비 -1억). 현재 사망보장은 '상해'에만 존재</v>
      </c>
    </row>
    <row r="8" spans="1:15" ht="24">
      <c r="A8" s="12"/>
      <c r="B8" s="32" t="str">
        <f>IF('4.담보마스터'!C7="","",'4.담보마스터'!C7)</f>
        <v>사망</v>
      </c>
      <c r="C8" s="33" t="str">
        <f>IF('4.담보마스터'!D7="","",'4.담보마스터'!D7)</f>
        <v>재해(정기)사망</v>
      </c>
      <c r="D8" s="32" t="str">
        <f>IF('4.담보마스터'!E7="","",'4.담보마스터'!E7)</f>
        <v>만원</v>
      </c>
      <c r="E8" s="34">
        <f>IF($C8="","",SUMIFS('5.담보원장'!$G$5:$G$68,'5.담보원장'!$F$5:$F$68,$C8,'5.담보원장'!$B$5:$B$68,E$4))</f>
        <v>0</v>
      </c>
      <c r="F8" s="34">
        <f>IF($C8="","",SUMIFS('5.담보원장'!$G$5:$G$68,'5.담보원장'!$F$5:$F$68,$C8,'5.담보원장'!$B$5:$B$68,F$4))</f>
        <v>0</v>
      </c>
      <c r="G8" s="34">
        <f>IF($C8="","",SUMIFS('5.담보원장'!$G$5:$G$68,'5.담보원장'!$F$5:$F$68,$C8,'5.담보원장'!$B$5:$B$68,G$4))</f>
        <v>0</v>
      </c>
      <c r="H8" s="35">
        <f t="shared" si="0"/>
        <v>0</v>
      </c>
      <c r="I8" s="34" t="str">
        <f>IF('4.담보마스터'!F7="","",'4.담보마스터'!F7)</f>
        <v/>
      </c>
      <c r="J8" s="34" t="str">
        <f t="shared" si="1"/>
        <v/>
      </c>
      <c r="K8" s="36" t="str">
        <f t="shared" si="2"/>
        <v>－</v>
      </c>
      <c r="L8" s="37" t="str">
        <f>IF('4.담보마스터'!G7="","",'4.담보마스터'!G7)</f>
        <v/>
      </c>
      <c r="M8" s="37" t="str">
        <f t="shared" si="3"/>
        <v/>
      </c>
      <c r="N8" s="3" t="str">
        <f>IF('4.담보마스터'!H7="","",'4.담보마스터'!H7)</f>
        <v>생보 재해사망 개념. 손보는 '상해사망'으로 대체 표기</v>
      </c>
      <c r="O8" s="3" t="str">
        <f>IF('4.담보마스터'!I7="","",'4.담보마스터'!I7)</f>
        <v>손보 계약이므로 상해사망 행으로 집계</v>
      </c>
    </row>
    <row r="9" spans="1:15" ht="36">
      <c r="A9" s="12"/>
      <c r="B9" s="32" t="str">
        <f>IF('4.담보마스터'!C8="","",'4.담보마스터'!C8)</f>
        <v>사망</v>
      </c>
      <c r="C9" s="33" t="str">
        <f>IF('4.담보마스터'!D8="","",'4.담보마스터'!D8)</f>
        <v>상해(정기)사망</v>
      </c>
      <c r="D9" s="32" t="str">
        <f>IF('4.담보마스터'!E8="","",'4.담보마스터'!E8)</f>
        <v>만원</v>
      </c>
      <c r="E9" s="34">
        <f>IF($C9="","",SUMIFS('5.담보원장'!$G$5:$G$68,'5.담보원장'!$F$5:$F$68,$C9,'5.담보원장'!$B$5:$B$68,E$4))</f>
        <v>16000</v>
      </c>
      <c r="F9" s="34">
        <f>IF($C9="","",SUMIFS('5.담보원장'!$G$5:$G$68,'5.담보원장'!$F$5:$F$68,$C9,'5.담보원장'!$B$5:$B$68,F$4))</f>
        <v>0</v>
      </c>
      <c r="G9" s="34">
        <f>IF($C9="","",SUMIFS('5.담보원장'!$G$5:$G$68,'5.담보원장'!$F$5:$F$68,$C9,'5.담보원장'!$B$5:$B$68,G$4))</f>
        <v>0</v>
      </c>
      <c r="H9" s="35">
        <f t="shared" si="0"/>
        <v>16000</v>
      </c>
      <c r="I9" s="34">
        <f>IF('4.담보마스터'!F8="","",'4.담보마스터'!F8)</f>
        <v>20000</v>
      </c>
      <c r="J9" s="34">
        <f t="shared" si="1"/>
        <v>-4000</v>
      </c>
      <c r="K9" s="36" t="str">
        <f t="shared" si="2"/>
        <v>부족</v>
      </c>
      <c r="L9" s="37">
        <f>IF('4.담보마스터'!G8="","",'4.담보마스터'!G8)</f>
        <v>20000</v>
      </c>
      <c r="M9" s="37">
        <f t="shared" si="3"/>
        <v>-4000</v>
      </c>
      <c r="N9" s="3" t="str">
        <f>IF('4.담보마스터'!H8="","",'4.담보마스터'!H8)</f>
        <v>상해사망 + 교통상해사망 + 대중교통이용중 상해사망으로 세분화 설계</v>
      </c>
      <c r="O9" s="3" t="str">
        <f>IF('4.담보마스터'!I8="","",'4.담보마스터'!I8)</f>
        <v>계약① 기본계약 1,000만 + 상해사망후유장해추가 1억 5,000만 = 1억 6,000만 (권장 2억 대비 -4,000만)</v>
      </c>
    </row>
    <row r="10" spans="1:15" ht="132">
      <c r="A10" s="12"/>
      <c r="B10" s="32" t="str">
        <f>IF('4.담보마스터'!C9="","",'4.담보마스터'!C9)</f>
        <v>수술·입원</v>
      </c>
      <c r="C10" s="38" t="str">
        <f>IF('4.담보마스터'!D9="","",'4.담보마스터'!D9)</f>
        <v>수술비-질병(1~5종)</v>
      </c>
      <c r="D10" s="32" t="str">
        <f>IF('4.담보마스터'!E9="","",'4.담보마스터'!E9)</f>
        <v>만원</v>
      </c>
      <c r="E10" s="34">
        <f>IF($C10="","",SUMIFS('5.담보원장'!$G$5:$G$68,'5.담보원장'!$F$5:$F$68,$C10,'5.담보원장'!$B$5:$B$68,E$4))</f>
        <v>0</v>
      </c>
      <c r="F10" s="34">
        <f>IF($C10="","",SUMIFS('5.담보원장'!$G$5:$G$68,'5.담보원장'!$F$5:$F$68,$C10,'5.담보원장'!$B$5:$B$68,F$4))</f>
        <v>0</v>
      </c>
      <c r="G10" s="34">
        <f>IF($C10="","",SUMIFS('5.담보원장'!$G$5:$G$68,'5.담보원장'!$F$5:$F$68,$C10,'5.담보원장'!$B$5:$B$68,G$4))</f>
        <v>0</v>
      </c>
      <c r="H10" s="35">
        <f t="shared" si="0"/>
        <v>0</v>
      </c>
      <c r="I10" s="34">
        <f>IF('4.담보마스터'!F9="","",'4.담보마스터'!F9)</f>
        <v>50</v>
      </c>
      <c r="J10" s="34">
        <f t="shared" si="1"/>
        <v>-50</v>
      </c>
      <c r="K10" s="36" t="str">
        <f t="shared" si="2"/>
        <v>미가입</v>
      </c>
      <c r="L10" s="37">
        <f>IF('4.담보마스터'!G9="","",'4.담보마스터'!G9)</f>
        <v>1000</v>
      </c>
      <c r="M10" s="37">
        <f t="shared" si="3"/>
        <v>-1000</v>
      </c>
      <c r="N10" s="3" t="str">
        <f>IF('4.담보마스터'!H9="","",'4.담보마스터'!H9)</f>
        <v>★★★2026 3대 핵심 트렌드 ③. 5세대 실손(2026.5.6~)의 비중증 비급여 축소로 정액 수술비의 역할이 커졌습니다. 비중증 비급여 자기부담 30% → 50%, 연간 한도 5,000만 → 1,000만, 통원 1회 20만·병의원 입원 1회 300만 제한 신설. 정액 수술비는 급여·비급여를 따지지 않고 수술확인서만으로 정액 지급되며 반복 청구가 가능해 이 공백을 메웁니다. 1~5종 종수술비(5종 기준 500~1,000만원)가 표준이며, DB손보 '반값 종수술비' 등 판매 경쟁 진행 중</v>
      </c>
      <c r="O10" s="3" t="str">
        <f>IF('4.담보마스터'!I9="","",'4.담보마스터'!I9)</f>
        <v>★미가입 — 최우선 검토 대상. 계약①은 '16대질병수술 100만원' 한정형만 있어, 16대에 들어가지 않는 수술은 정액 보험금이 0원입니다. 예: 비중증 수술비 300만원 발생 시 5세대 실손 기준 본인부담이 90만원 → 150만원으로 늘어나는데, 신OO님은 2세대 실손이라 실손 쪽 방어는 유리하나 '실손이 아예 안 되는 항목·초과분'은 정액 수술비로만 메울 수 있습니다</v>
      </c>
    </row>
    <row r="11" spans="1:15" ht="48">
      <c r="A11" s="12"/>
      <c r="B11" s="32" t="str">
        <f>IF('4.담보마스터'!C10="","",'4.담보마스터'!C10)</f>
        <v>수술·입원</v>
      </c>
      <c r="C11" s="33" t="str">
        <f>IF('4.담보마스터'!D10="","",'4.담보마스터'!D10)</f>
        <v>수술비-N대질병</v>
      </c>
      <c r="D11" s="32" t="str">
        <f>IF('4.담보마스터'!E10="","",'4.담보마스터'!E10)</f>
        <v>만원</v>
      </c>
      <c r="E11" s="34">
        <f>IF($C11="","",SUMIFS('5.담보원장'!$G$5:$G$68,'5.담보원장'!$F$5:$F$68,$C11,'5.담보원장'!$B$5:$B$68,E$4))</f>
        <v>100</v>
      </c>
      <c r="F11" s="34">
        <f>IF($C11="","",SUMIFS('5.담보원장'!$G$5:$G$68,'5.담보원장'!$F$5:$F$68,$C11,'5.담보원장'!$B$5:$B$68,F$4))</f>
        <v>0</v>
      </c>
      <c r="G11" s="34">
        <f>IF($C11="","",SUMIFS('5.담보원장'!$G$5:$G$68,'5.담보원장'!$F$5:$F$68,$C11,'5.담보원장'!$B$5:$B$68,G$4))</f>
        <v>0</v>
      </c>
      <c r="H11" s="35">
        <f t="shared" si="0"/>
        <v>100</v>
      </c>
      <c r="I11" s="34">
        <f>IF('4.담보마스터'!F10="","",'4.담보마스터'!F10)</f>
        <v>100</v>
      </c>
      <c r="J11" s="34">
        <f t="shared" si="1"/>
        <v>0</v>
      </c>
      <c r="K11" s="36" t="str">
        <f t="shared" si="2"/>
        <v>충분</v>
      </c>
      <c r="L11" s="37">
        <f>IF('4.담보마스터'!G10="","",'4.담보마스터'!G10)</f>
        <v>500</v>
      </c>
      <c r="M11" s="37">
        <f t="shared" si="3"/>
        <v>-400</v>
      </c>
      <c r="N11" s="3" t="str">
        <f>IF('4.담보마스터'!H10="","",'4.담보마스터'!H10)</f>
        <v>N대 범위 확대(16대 → 38대·61대·105대). 다만 최근에는 질병군을 한정하지 않는 1~5종 종수술비 + 질병통합치료비 조합으로 무게중심이 이동</v>
      </c>
      <c r="O11" s="3" t="str">
        <f>IF('4.담보마스터'!I10="","",'4.담보마스터'!I10)</f>
        <v>계약① 16대질병수술 100만원. 2010년 약관 기준이라 질병군 범위가 좁고, '16대에 해당하는지'를 매번 따져야 하는 한정형 구조입니다</v>
      </c>
    </row>
    <row r="12" spans="1:15" ht="48">
      <c r="A12" s="12"/>
      <c r="B12" s="32" t="str">
        <f>IF('4.담보마스터'!C11="","",'4.담보마스터'!C11)</f>
        <v>수술·입원</v>
      </c>
      <c r="C12" s="33" t="str">
        <f>IF('4.담보마스터'!D11="","",'4.담보마스터'!D11)</f>
        <v>수술비-재해(상해)</v>
      </c>
      <c r="D12" s="32" t="str">
        <f>IF('4.담보마스터'!E11="","",'4.담보마스터'!E11)</f>
        <v>만원</v>
      </c>
      <c r="E12" s="34">
        <f>IF($C12="","",SUMIFS('5.담보원장'!$G$5:$G$68,'5.담보원장'!$F$5:$F$68,$C12,'5.담보원장'!$B$5:$B$68,E$4))</f>
        <v>0</v>
      </c>
      <c r="F12" s="34">
        <f>IF($C12="","",SUMIFS('5.담보원장'!$G$5:$G$68,'5.담보원장'!$F$5:$F$68,$C12,'5.담보원장'!$B$5:$B$68,F$4))</f>
        <v>0</v>
      </c>
      <c r="G12" s="34">
        <f>IF($C12="","",SUMIFS('5.담보원장'!$G$5:$G$68,'5.담보원장'!$F$5:$F$68,$C12,'5.담보원장'!$B$5:$B$68,G$4))</f>
        <v>0</v>
      </c>
      <c r="H12" s="35">
        <f t="shared" si="0"/>
        <v>0</v>
      </c>
      <c r="I12" s="34">
        <f>IF('4.담보마스터'!F11="","",'4.담보마스터'!F11)</f>
        <v>100</v>
      </c>
      <c r="J12" s="34">
        <f t="shared" si="1"/>
        <v>-100</v>
      </c>
      <c r="K12" s="36" t="str">
        <f t="shared" si="2"/>
        <v>미가입</v>
      </c>
      <c r="L12" s="37">
        <f>IF('4.담보마스터'!G11="","",'4.담보마스터'!G11)</f>
        <v>1000</v>
      </c>
      <c r="M12" s="37">
        <f t="shared" si="3"/>
        <v>-1000</v>
      </c>
      <c r="N12" s="3" t="str">
        <f>IF('4.담보마스터'!H11="","",'4.담보마스터'!H11)</f>
        <v>상해 1~5종 종수술비 + 부위별 특정상해수술 병행 설계가 표준. 정액형이라 급여·비급여 구분 없이 지급되며, 5세대 실손 축소의 대안 담보로 함께 거론됨</v>
      </c>
      <c r="O12" s="3" t="str">
        <f>IF('4.담보마스터'!I11="","",'4.담보마스터'!I11)</f>
        <v>미가입. 계약②는 관절·인대·척추 등 부위별 특정상해수술만 보유해 해당 부위가 아닌 상해수술은 정액 보험금이 0원입니다</v>
      </c>
    </row>
    <row r="13" spans="1:15" ht="72">
      <c r="A13" s="12"/>
      <c r="B13" s="32" t="str">
        <f>IF('4.담보마스터'!C12="","",'4.담보마스터'!C12)</f>
        <v>수술·입원</v>
      </c>
      <c r="C13" s="33" t="str">
        <f>IF('4.담보마스터'!D12="","",'4.담보마스터'!D12)</f>
        <v>질병통합치료비(검사·시술·수술 포괄)</v>
      </c>
      <c r="D13" s="32" t="str">
        <f>IF('4.담보마스터'!E12="","",'4.담보마스터'!E12)</f>
        <v>만원</v>
      </c>
      <c r="E13" s="34">
        <f>IF($C13="","",SUMIFS('5.담보원장'!$G$5:$G$68,'5.담보원장'!$F$5:$F$68,$C13,'5.담보원장'!$B$5:$B$68,E$4))</f>
        <v>0</v>
      </c>
      <c r="F13" s="34">
        <f>IF($C13="","",SUMIFS('5.담보원장'!$G$5:$G$68,'5.담보원장'!$F$5:$F$68,$C13,'5.담보원장'!$B$5:$B$68,F$4))</f>
        <v>0</v>
      </c>
      <c r="G13" s="34">
        <f>IF($C13="","",SUMIFS('5.담보원장'!$G$5:$G$68,'5.담보원장'!$F$5:$F$68,$C13,'5.담보원장'!$B$5:$B$68,G$4))</f>
        <v>0</v>
      </c>
      <c r="H13" s="35">
        <f t="shared" si="0"/>
        <v>0</v>
      </c>
      <c r="I13" s="34" t="str">
        <f>IF('4.담보마스터'!F12="","",'4.담보마스터'!F12)</f>
        <v/>
      </c>
      <c r="J13" s="34" t="str">
        <f t="shared" si="1"/>
        <v/>
      </c>
      <c r="K13" s="36" t="str">
        <f t="shared" si="2"/>
        <v>－</v>
      </c>
      <c r="L13" s="37">
        <f>IF('4.담보마스터'!G12="","",'4.담보마스터'!G12)</f>
        <v>1000</v>
      </c>
      <c r="M13" s="37">
        <f t="shared" si="3"/>
        <v>-1000</v>
      </c>
      <c r="N13" s="3" t="str">
        <f>IF('4.담보마스터'!H12="","",'4.담보마스터'!H12)</f>
        <v>★2026 신설 트렌드 담보. 검사 → 시술 → 수술 → 중증치료를 하나로 묶어 정액 지급하는 확장형 담보. 5세대 실손의 통원·외래 부담 증가에 대응하는 대안으로 수술비와 함께 급부상. 메리츠·KB손보·하나손보 등 판매</v>
      </c>
      <c r="O13" s="3" t="str">
        <f>IF('4.담보마스터'!I12="","",'4.담보마스터'!I12)</f>
        <v>미가입. 수술 단계만 보는 수술비보다 앞단(검사·시술)까지 포괄해 실손 축소분을 넓게 메우는 구조</v>
      </c>
    </row>
    <row r="14" spans="1:15" ht="24">
      <c r="A14" s="12"/>
      <c r="B14" s="32" t="str">
        <f>IF('4.담보마스터'!C13="","",'4.담보마스터'!C13)</f>
        <v>수술·입원</v>
      </c>
      <c r="C14" s="33" t="str">
        <f>IF('4.담보마스터'!D13="","",'4.담보마스터'!D13)</f>
        <v>입원일당-질병</v>
      </c>
      <c r="D14" s="32" t="str">
        <f>IF('4.담보마스터'!E13="","",'4.담보마스터'!E13)</f>
        <v>만원/일</v>
      </c>
      <c r="E14" s="34">
        <f>IF($C14="","",SUMIFS('5.담보원장'!$G$5:$G$68,'5.담보원장'!$F$5:$F$68,$C14,'5.담보원장'!$B$5:$B$68,E$4))</f>
        <v>2</v>
      </c>
      <c r="F14" s="34">
        <f>IF($C14="","",SUMIFS('5.담보원장'!$G$5:$G$68,'5.담보원장'!$F$5:$F$68,$C14,'5.담보원장'!$B$5:$B$68,F$4))</f>
        <v>0</v>
      </c>
      <c r="G14" s="34">
        <f>IF($C14="","",SUMIFS('5.담보원장'!$G$5:$G$68,'5.담보원장'!$F$5:$F$68,$C14,'5.담보원장'!$B$5:$B$68,G$4))</f>
        <v>0</v>
      </c>
      <c r="H14" s="35">
        <f t="shared" si="0"/>
        <v>2</v>
      </c>
      <c r="I14" s="34">
        <f>IF('4.담보마스터'!F13="","",'4.담보마스터'!F13)</f>
        <v>3</v>
      </c>
      <c r="J14" s="34">
        <f t="shared" si="1"/>
        <v>-1</v>
      </c>
      <c r="K14" s="36" t="str">
        <f t="shared" si="2"/>
        <v>부족</v>
      </c>
      <c r="L14" s="37">
        <f>IF('4.담보마스터'!G13="","",'4.담보마스터'!G13)</f>
        <v>5</v>
      </c>
      <c r="M14" s="37">
        <f t="shared" si="3"/>
        <v>-3</v>
      </c>
      <c r="N14" s="3" t="str">
        <f>IF('4.담보마스터'!H13="","",'4.담보마스터'!H13)</f>
        <v>상급종합병원 가산형·중환자실 가산형 확산. 기본 3만 + 상급종합 추가 3만 구조</v>
      </c>
      <c r="O14" s="3" t="str">
        <f>IF('4.담보마스터'!I13="","",'4.담보마스터'!I13)</f>
        <v>계약① 2만 (권장 3만 대비 -1만)</v>
      </c>
    </row>
    <row r="15" spans="1:15" ht="24">
      <c r="A15" s="12"/>
      <c r="B15" s="32" t="str">
        <f>IF('4.담보마스터'!C14="","",'4.담보마스터'!C14)</f>
        <v>수술·입원</v>
      </c>
      <c r="C15" s="33" t="str">
        <f>IF('4.담보마스터'!D14="","",'4.담보마스터'!D14)</f>
        <v>입원일당-N대질병</v>
      </c>
      <c r="D15" s="32" t="str">
        <f>IF('4.담보마스터'!E14="","",'4.담보마스터'!E14)</f>
        <v>만원/일</v>
      </c>
      <c r="E15" s="34">
        <f>IF($C15="","",SUMIFS('5.담보원장'!$G$5:$G$68,'5.담보원장'!$F$5:$F$68,$C15,'5.담보원장'!$B$5:$B$68,E$4))</f>
        <v>2</v>
      </c>
      <c r="F15" s="34">
        <f>IF($C15="","",SUMIFS('5.담보원장'!$G$5:$G$68,'5.담보원장'!$F$5:$F$68,$C15,'5.담보원장'!$B$5:$B$68,F$4))</f>
        <v>0</v>
      </c>
      <c r="G15" s="34">
        <f>IF($C15="","",SUMIFS('5.담보원장'!$G$5:$G$68,'5.담보원장'!$F$5:$F$68,$C15,'5.담보원장'!$B$5:$B$68,G$4))</f>
        <v>0</v>
      </c>
      <c r="H15" s="35">
        <f t="shared" si="0"/>
        <v>2</v>
      </c>
      <c r="I15" s="34">
        <f>IF('4.담보마스터'!F14="","",'4.담보마스터'!F14)</f>
        <v>3</v>
      </c>
      <c r="J15" s="34">
        <f t="shared" si="1"/>
        <v>-1</v>
      </c>
      <c r="K15" s="36" t="str">
        <f t="shared" si="2"/>
        <v>부족</v>
      </c>
      <c r="L15" s="37" t="str">
        <f>IF('4.담보마스터'!G14="","",'4.담보마스터'!G14)</f>
        <v/>
      </c>
      <c r="M15" s="37" t="str">
        <f t="shared" si="3"/>
        <v/>
      </c>
      <c r="N15" s="3" t="str">
        <f>IF('4.담보마스터'!H14="","",'4.담보마스터'!H14)</f>
        <v>4대성인병 → 15대·31대 성인질환으로 대상 확대</v>
      </c>
      <c r="O15" s="3" t="str">
        <f>IF('4.담보마스터'!I14="","",'4.담보마스터'!I14)</f>
        <v>계약① 4대성인병 1만 + 5대만성질병 1만 = 2만</v>
      </c>
    </row>
    <row r="16" spans="1:15" ht="24">
      <c r="A16" s="12"/>
      <c r="B16" s="32" t="str">
        <f>IF('4.담보마스터'!C15="","",'4.담보마스터'!C15)</f>
        <v>수술·입원</v>
      </c>
      <c r="C16" s="33" t="str">
        <f>IF('4.담보마스터'!D15="","",'4.담보마스터'!D15)</f>
        <v>입원일당-재해(상해)</v>
      </c>
      <c r="D16" s="32" t="str">
        <f>IF('4.담보마스터'!E15="","",'4.담보마스터'!E15)</f>
        <v>만원/일</v>
      </c>
      <c r="E16" s="34">
        <f>IF($C16="","",SUMIFS('5.담보원장'!$G$5:$G$68,'5.담보원장'!$F$5:$F$68,$C16,'5.담보원장'!$B$5:$B$68,E$4))</f>
        <v>2</v>
      </c>
      <c r="F16" s="34">
        <f>IF($C16="","",SUMIFS('5.담보원장'!$G$5:$G$68,'5.담보원장'!$F$5:$F$68,$C16,'5.담보원장'!$B$5:$B$68,F$4))</f>
        <v>0</v>
      </c>
      <c r="G16" s="34">
        <f>IF($C16="","",SUMIFS('5.담보원장'!$G$5:$G$68,'5.담보원장'!$F$5:$F$68,$C16,'5.담보원장'!$B$5:$B$68,G$4))</f>
        <v>0</v>
      </c>
      <c r="H16" s="35">
        <f t="shared" si="0"/>
        <v>2</v>
      </c>
      <c r="I16" s="34">
        <f>IF('4.담보마스터'!F15="","",'4.담보마스터'!F15)</f>
        <v>3</v>
      </c>
      <c r="J16" s="34">
        <f t="shared" si="1"/>
        <v>-1</v>
      </c>
      <c r="K16" s="36" t="str">
        <f t="shared" si="2"/>
        <v>부족</v>
      </c>
      <c r="L16" s="37">
        <f>IF('4.담보마스터'!G15="","",'4.담보마스터'!G15)</f>
        <v>5</v>
      </c>
      <c r="M16" s="37">
        <f t="shared" si="3"/>
        <v>-3</v>
      </c>
      <c r="N16" s="3" t="str">
        <f>IF('4.담보마스터'!H15="","",'4.담보마스터'!H15)</f>
        <v>상해입원일당은 1일차부터 지급이 표준화</v>
      </c>
      <c r="O16" s="3" t="str">
        <f>IF('4.담보마스터'!I15="","",'4.담보마스터'!I15)</f>
        <v>계약① 2만 (권장 3만 대비 -1만). 계약② 교통상해입원일당 1만 별도</v>
      </c>
    </row>
    <row r="17" spans="1:15">
      <c r="A17" s="12"/>
      <c r="B17" s="32" t="str">
        <f>IF('4.담보마스터'!C16="","",'4.담보마스터'!C16)</f>
        <v>수술·입원</v>
      </c>
      <c r="C17" s="33" t="str">
        <f>IF('4.담보마스터'!D16="","",'4.담보마스터'!D16)</f>
        <v>통원일당</v>
      </c>
      <c r="D17" s="32" t="str">
        <f>IF('4.담보마스터'!E16="","",'4.담보마스터'!E16)</f>
        <v>만원/일</v>
      </c>
      <c r="E17" s="34">
        <f>IF($C17="","",SUMIFS('5.담보원장'!$G$5:$G$68,'5.담보원장'!$F$5:$F$68,$C17,'5.담보원장'!$B$5:$B$68,E$4))</f>
        <v>0</v>
      </c>
      <c r="F17" s="34">
        <f>IF($C17="","",SUMIFS('5.담보원장'!$G$5:$G$68,'5.담보원장'!$F$5:$F$68,$C17,'5.담보원장'!$B$5:$B$68,F$4))</f>
        <v>0</v>
      </c>
      <c r="G17" s="34">
        <f>IF($C17="","",SUMIFS('5.담보원장'!$G$5:$G$68,'5.담보원장'!$F$5:$F$68,$C17,'5.담보원장'!$B$5:$B$68,G$4))</f>
        <v>0</v>
      </c>
      <c r="H17" s="35">
        <f t="shared" si="0"/>
        <v>0</v>
      </c>
      <c r="I17" s="34" t="str">
        <f>IF('4.담보마스터'!F16="","",'4.담보마스터'!F16)</f>
        <v/>
      </c>
      <c r="J17" s="34" t="str">
        <f t="shared" si="1"/>
        <v/>
      </c>
      <c r="K17" s="36" t="str">
        <f t="shared" si="2"/>
        <v>－</v>
      </c>
      <c r="L17" s="37" t="str">
        <f>IF('4.담보마스터'!G16="","",'4.담보마스터'!G16)</f>
        <v/>
      </c>
      <c r="M17" s="37" t="str">
        <f t="shared" si="3"/>
        <v/>
      </c>
      <c r="N17" s="3" t="str">
        <f>IF('4.담보마스터'!H16="","",'4.담보마스터'!H16)</f>
        <v>실손과 중복되어 최근 축소 추세</v>
      </c>
      <c r="O17" s="3" t="str">
        <f>IF('4.담보마스터'!I16="","",'4.담보마스터'!I16)</f>
        <v>미가입</v>
      </c>
    </row>
    <row r="18" spans="1:15" ht="24">
      <c r="A18" s="12"/>
      <c r="B18" s="32" t="str">
        <f>IF('4.담보마스터'!C17="","",'4.담보마스터'!C17)</f>
        <v>암</v>
      </c>
      <c r="C18" s="33" t="str">
        <f>IF('4.담보마스터'!D17="","",'4.담보마스터'!D17)</f>
        <v>CI(중대질병)진단자금</v>
      </c>
      <c r="D18" s="32" t="str">
        <f>IF('4.담보마스터'!E17="","",'4.담보마스터'!E17)</f>
        <v>만원</v>
      </c>
      <c r="E18" s="34">
        <f>IF($C18="","",SUMIFS('5.담보원장'!$G$5:$G$68,'5.담보원장'!$F$5:$F$68,$C18,'5.담보원장'!$B$5:$B$68,E$4))</f>
        <v>0</v>
      </c>
      <c r="F18" s="34">
        <f>IF($C18="","",SUMIFS('5.담보원장'!$G$5:$G$68,'5.담보원장'!$F$5:$F$68,$C18,'5.담보원장'!$B$5:$B$68,F$4))</f>
        <v>0</v>
      </c>
      <c r="G18" s="34">
        <f>IF($C18="","",SUMIFS('5.담보원장'!$G$5:$G$68,'5.담보원장'!$F$5:$F$68,$C18,'5.담보원장'!$B$5:$B$68,G$4))</f>
        <v>0</v>
      </c>
      <c r="H18" s="35">
        <f t="shared" si="0"/>
        <v>0</v>
      </c>
      <c r="I18" s="34" t="str">
        <f>IF('4.담보마스터'!F17="","",'4.담보마스터'!F17)</f>
        <v/>
      </c>
      <c r="J18" s="34" t="str">
        <f t="shared" si="1"/>
        <v/>
      </c>
      <c r="K18" s="36" t="str">
        <f t="shared" si="2"/>
        <v>－</v>
      </c>
      <c r="L18" s="37" t="str">
        <f>IF('4.담보마스터'!G17="","",'4.담보마스터'!G17)</f>
        <v/>
      </c>
      <c r="M18" s="37" t="str">
        <f t="shared" si="3"/>
        <v/>
      </c>
      <c r="N18" s="3" t="str">
        <f>IF('4.담보마스터'!H17="","",'4.담보마스터'!H17)</f>
        <v>CI형은 지급요건이 엄격해 축소. GI형·일반진단비형이 주류</v>
      </c>
      <c r="O18" s="3" t="str">
        <f>IF('4.담보마스터'!I17="","",'4.담보마스터'!I17)</f>
        <v>미가입</v>
      </c>
    </row>
    <row r="19" spans="1:15">
      <c r="A19" s="12"/>
      <c r="B19" s="32" t="str">
        <f>IF('4.담보마스터'!C18="","",'4.담보마스터'!C18)</f>
        <v>암</v>
      </c>
      <c r="C19" s="33" t="str">
        <f>IF('4.담보마스터'!D18="","",'4.담보마스터'!D18)</f>
        <v>중대한 수술비</v>
      </c>
      <c r="D19" s="32" t="str">
        <f>IF('4.담보마스터'!E18="","",'4.담보마스터'!E18)</f>
        <v>만원</v>
      </c>
      <c r="E19" s="34">
        <f>IF($C19="","",SUMIFS('5.담보원장'!$G$5:$G$68,'5.담보원장'!$F$5:$F$68,$C19,'5.담보원장'!$B$5:$B$68,E$4))</f>
        <v>0</v>
      </c>
      <c r="F19" s="34">
        <f>IF($C19="","",SUMIFS('5.담보원장'!$G$5:$G$68,'5.담보원장'!$F$5:$F$68,$C19,'5.담보원장'!$B$5:$B$68,F$4))</f>
        <v>0</v>
      </c>
      <c r="G19" s="34">
        <f>IF($C19="","",SUMIFS('5.담보원장'!$G$5:$G$68,'5.담보원장'!$F$5:$F$68,$C19,'5.담보원장'!$B$5:$B$68,G$4))</f>
        <v>0</v>
      </c>
      <c r="H19" s="35">
        <f t="shared" si="0"/>
        <v>0</v>
      </c>
      <c r="I19" s="34" t="str">
        <f>IF('4.담보마스터'!F18="","",'4.담보마스터'!F18)</f>
        <v/>
      </c>
      <c r="J19" s="34" t="str">
        <f t="shared" si="1"/>
        <v/>
      </c>
      <c r="K19" s="36" t="str">
        <f t="shared" si="2"/>
        <v>－</v>
      </c>
      <c r="L19" s="37" t="str">
        <f>IF('4.담보마스터'!G18="","",'4.담보마스터'!G18)</f>
        <v/>
      </c>
      <c r="M19" s="37" t="str">
        <f t="shared" si="3"/>
        <v/>
      </c>
      <c r="N19" s="3" t="str">
        <f>IF('4.담보마스터'!H18="","",'4.담보마스터'!H18)</f>
        <v>CI 계열 담보. 신규 판매 축소</v>
      </c>
      <c r="O19" s="3" t="str">
        <f>IF('4.담보마스터'!I18="","",'4.담보마스터'!I18)</f>
        <v>미가입</v>
      </c>
    </row>
    <row r="20" spans="1:15">
      <c r="A20" s="12"/>
      <c r="B20" s="32" t="str">
        <f>IF('4.담보마스터'!C19="","",'4.담보마스터'!C19)</f>
        <v>암</v>
      </c>
      <c r="C20" s="33" t="str">
        <f>IF('4.담보마스터'!D19="","",'4.담보마스터'!D19)</f>
        <v>암사망</v>
      </c>
      <c r="D20" s="32" t="str">
        <f>IF('4.담보마스터'!E19="","",'4.담보마스터'!E19)</f>
        <v>만원</v>
      </c>
      <c r="E20" s="34">
        <f>IF($C20="","",SUMIFS('5.담보원장'!$G$5:$G$68,'5.담보원장'!$F$5:$F$68,$C20,'5.담보원장'!$B$5:$B$68,E$4))</f>
        <v>0</v>
      </c>
      <c r="F20" s="34">
        <f>IF($C20="","",SUMIFS('5.담보원장'!$G$5:$G$68,'5.담보원장'!$F$5:$F$68,$C20,'5.담보원장'!$B$5:$B$68,F$4))</f>
        <v>0</v>
      </c>
      <c r="G20" s="34">
        <f>IF($C20="","",SUMIFS('5.담보원장'!$G$5:$G$68,'5.담보원장'!$F$5:$F$68,$C20,'5.담보원장'!$B$5:$B$68,G$4))</f>
        <v>0</v>
      </c>
      <c r="H20" s="35">
        <f t="shared" si="0"/>
        <v>0</v>
      </c>
      <c r="I20" s="34" t="str">
        <f>IF('4.담보마스터'!F19="","",'4.담보마스터'!F19)</f>
        <v/>
      </c>
      <c r="J20" s="34" t="str">
        <f t="shared" si="1"/>
        <v/>
      </c>
      <c r="K20" s="36" t="str">
        <f t="shared" si="2"/>
        <v>－</v>
      </c>
      <c r="L20" s="37" t="str">
        <f>IF('4.담보마스터'!G19="","",'4.담보마스터'!G19)</f>
        <v/>
      </c>
      <c r="M20" s="37" t="str">
        <f t="shared" si="3"/>
        <v/>
      </c>
      <c r="N20" s="3" t="str">
        <f>IF('4.담보마스터'!H19="","",'4.담보마스터'!H19)</f>
        <v>암사망 단독 특약은 희소</v>
      </c>
      <c r="O20" s="3" t="str">
        <f>IF('4.담보마스터'!I19="","",'4.담보마스터'!I19)</f>
        <v>미가입</v>
      </c>
    </row>
    <row r="21" spans="1:15" ht="36">
      <c r="A21" s="12"/>
      <c r="B21" s="32" t="str">
        <f>IF('4.담보마스터'!C20="","",'4.담보마스터'!C20)</f>
        <v>암</v>
      </c>
      <c r="C21" s="33" t="str">
        <f>IF('4.담보마스터'!D20="","",'4.담보마스터'!D20)</f>
        <v>일반암 진단비</v>
      </c>
      <c r="D21" s="32" t="str">
        <f>IF('4.담보마스터'!E20="","",'4.담보마스터'!E20)</f>
        <v>만원</v>
      </c>
      <c r="E21" s="34">
        <f>IF($C21="","",SUMIFS('5.담보원장'!$G$5:$G$68,'5.담보원장'!$F$5:$F$68,$C21,'5.담보원장'!$B$5:$B$68,E$4))</f>
        <v>1000</v>
      </c>
      <c r="F21" s="34">
        <f>IF($C21="","",SUMIFS('5.담보원장'!$G$5:$G$68,'5.담보원장'!$F$5:$F$68,$C21,'5.담보원장'!$B$5:$B$68,F$4))</f>
        <v>0</v>
      </c>
      <c r="G21" s="34">
        <f>IF($C21="","",SUMIFS('5.담보원장'!$G$5:$G$68,'5.담보원장'!$F$5:$F$68,$C21,'5.담보원장'!$B$5:$B$68,G$4))</f>
        <v>0</v>
      </c>
      <c r="H21" s="35">
        <f t="shared" si="0"/>
        <v>1000</v>
      </c>
      <c r="I21" s="34">
        <f>IF('4.담보마스터'!F20="","",'4.담보마스터'!F20)</f>
        <v>10000</v>
      </c>
      <c r="J21" s="34">
        <f t="shared" si="1"/>
        <v>-9000</v>
      </c>
      <c r="K21" s="36" t="str">
        <f t="shared" si="2"/>
        <v>부족</v>
      </c>
      <c r="L21" s="37">
        <f>IF('4.담보마스터'!G20="","",'4.담보마스터'!G20)</f>
        <v>10000</v>
      </c>
      <c r="M21" s="37">
        <f t="shared" si="3"/>
        <v>-9000</v>
      </c>
      <c r="N21" s="3" t="str">
        <f>IF('4.담보마스터'!H20="","",'4.담보마스터'!H20)</f>
        <v>★진단금 일시금 → '치료 전 과정 보장'으로 이동. 치료예약 확정 시 선지급(초기 50% → 현재 70%) 구조 확산</v>
      </c>
      <c r="O21" s="3" t="str">
        <f>IF('4.담보마스터'!I20="","",'4.담보마스터'!I20)</f>
        <v>★계약① 1,000만 (권장 1억 대비 -9,000만) — 전체 담보 중 최대 공백. 2010년 가입분으로 재진단암·고액암 없음</v>
      </c>
    </row>
    <row r="22" spans="1:15" ht="24">
      <c r="A22" s="12"/>
      <c r="B22" s="32" t="str">
        <f>IF('4.담보마스터'!C21="","",'4.담보마스터'!C21)</f>
        <v>암</v>
      </c>
      <c r="C22" s="33" t="str">
        <f>IF('4.담보마스터'!D21="","",'4.담보마스터'!D21)</f>
        <v>암수술비</v>
      </c>
      <c r="D22" s="32" t="str">
        <f>IF('4.담보마스터'!E21="","",'4.담보마스터'!E21)</f>
        <v>만원</v>
      </c>
      <c r="E22" s="34">
        <f>IF($C22="","",SUMIFS('5.담보원장'!$G$5:$G$68,'5.담보원장'!$F$5:$F$68,$C22,'5.담보원장'!$B$5:$B$68,E$4))</f>
        <v>100</v>
      </c>
      <c r="F22" s="34">
        <f>IF($C22="","",SUMIFS('5.담보원장'!$G$5:$G$68,'5.담보원장'!$F$5:$F$68,$C22,'5.담보원장'!$B$5:$B$68,F$4))</f>
        <v>0</v>
      </c>
      <c r="G22" s="34">
        <f>IF($C22="","",SUMIFS('5.담보원장'!$G$5:$G$68,'5.담보원장'!$F$5:$F$68,$C22,'5.담보원장'!$B$5:$B$68,G$4))</f>
        <v>0</v>
      </c>
      <c r="H22" s="35">
        <f t="shared" si="0"/>
        <v>100</v>
      </c>
      <c r="I22" s="34">
        <f>IF('4.담보마스터'!F21="","",'4.담보마스터'!F21)</f>
        <v>300</v>
      </c>
      <c r="J22" s="34">
        <f t="shared" si="1"/>
        <v>-200</v>
      </c>
      <c r="K22" s="36" t="str">
        <f t="shared" si="2"/>
        <v>부족</v>
      </c>
      <c r="L22" s="37">
        <f>IF('4.담보마스터'!G21="","",'4.담보마스터'!G21)</f>
        <v>500</v>
      </c>
      <c r="M22" s="37">
        <f t="shared" si="3"/>
        <v>-400</v>
      </c>
      <c r="N22" s="3" t="str">
        <f>IF('4.담보마스터'!H21="","",'4.담보마스터'!H21)</f>
        <v>로봇수술·중입자치료 등 고액 비급여 수술을 별도 담보로 분리</v>
      </c>
      <c r="O22" s="3" t="str">
        <f>IF('4.담보마스터'!I21="","",'4.담보마스터'!I21)</f>
        <v>계약① 100만 (권장 300만 대비 -200만)</v>
      </c>
    </row>
    <row r="23" spans="1:15">
      <c r="A23" s="12"/>
      <c r="B23" s="32" t="str">
        <f>IF('4.담보마스터'!C22="","",'4.담보마스터'!C22)</f>
        <v>암</v>
      </c>
      <c r="C23" s="33" t="str">
        <f>IF('4.담보마스터'!D22="","",'4.담보마스터'!D22)</f>
        <v>암입원일당</v>
      </c>
      <c r="D23" s="32" t="str">
        <f>IF('4.담보마스터'!E22="","",'4.담보마스터'!E22)</f>
        <v>만원/일</v>
      </c>
      <c r="E23" s="34">
        <f>IF($C23="","",SUMIFS('5.담보원장'!$G$5:$G$68,'5.담보원장'!$F$5:$F$68,$C23,'5.담보원장'!$B$5:$B$68,E$4))</f>
        <v>5</v>
      </c>
      <c r="F23" s="34">
        <f>IF($C23="","",SUMIFS('5.담보원장'!$G$5:$G$68,'5.담보원장'!$F$5:$F$68,$C23,'5.담보원장'!$B$5:$B$68,F$4))</f>
        <v>0</v>
      </c>
      <c r="G23" s="34">
        <f>IF($C23="","",SUMIFS('5.담보원장'!$G$5:$G$68,'5.담보원장'!$F$5:$F$68,$C23,'5.담보원장'!$B$5:$B$68,G$4))</f>
        <v>0</v>
      </c>
      <c r="H23" s="35">
        <f t="shared" si="0"/>
        <v>5</v>
      </c>
      <c r="I23" s="34" t="str">
        <f>IF('4.담보마스터'!F22="","",'4.담보마스터'!F22)</f>
        <v/>
      </c>
      <c r="J23" s="34" t="str">
        <f t="shared" si="1"/>
        <v/>
      </c>
      <c r="K23" s="36" t="str">
        <f t="shared" si="2"/>
        <v>－</v>
      </c>
      <c r="L23" s="37" t="str">
        <f>IF('4.담보마스터'!G22="","",'4.담보마스터'!G22)</f>
        <v/>
      </c>
      <c r="M23" s="37" t="str">
        <f t="shared" si="3"/>
        <v/>
      </c>
      <c r="N23" s="3" t="str">
        <f>IF('4.담보마스터'!H22="","",'4.담보마스터'!H22)</f>
        <v>상급종합병원 암입원일당 가산형</v>
      </c>
      <c r="O23" s="3" t="str">
        <f>IF('4.담보마스터'!I22="","",'4.담보마스터'!I22)</f>
        <v>계약① 5만</v>
      </c>
    </row>
    <row r="24" spans="1:15" ht="24">
      <c r="A24" s="12"/>
      <c r="B24" s="32" t="str">
        <f>IF('4.담보마스터'!C23="","",'4.담보마스터'!C23)</f>
        <v>암</v>
      </c>
      <c r="C24" s="33" t="str">
        <f>IF('4.담보마스터'!D23="","",'4.담보마스터'!D23)</f>
        <v>암통원</v>
      </c>
      <c r="D24" s="32" t="str">
        <f>IF('4.담보마스터'!E23="","",'4.담보마스터'!E23)</f>
        <v>만원/회</v>
      </c>
      <c r="E24" s="34">
        <f>IF($C24="","",SUMIFS('5.담보원장'!$G$5:$G$68,'5.담보원장'!$F$5:$F$68,$C24,'5.담보원장'!$B$5:$B$68,E$4))</f>
        <v>0</v>
      </c>
      <c r="F24" s="34">
        <f>IF($C24="","",SUMIFS('5.담보원장'!$G$5:$G$68,'5.담보원장'!$F$5:$F$68,$C24,'5.담보원장'!$B$5:$B$68,F$4))</f>
        <v>0</v>
      </c>
      <c r="G24" s="34">
        <f>IF($C24="","",SUMIFS('5.담보원장'!$G$5:$G$68,'5.담보원장'!$F$5:$F$68,$C24,'5.담보원장'!$B$5:$B$68,G$4))</f>
        <v>0</v>
      </c>
      <c r="H24" s="35">
        <f t="shared" si="0"/>
        <v>0</v>
      </c>
      <c r="I24" s="34" t="str">
        <f>IF('4.담보마스터'!F23="","",'4.담보마스터'!F23)</f>
        <v/>
      </c>
      <c r="J24" s="34" t="str">
        <f t="shared" si="1"/>
        <v/>
      </c>
      <c r="K24" s="36" t="str">
        <f t="shared" si="2"/>
        <v>－</v>
      </c>
      <c r="L24" s="37" t="str">
        <f>IF('4.담보마스터'!G23="","",'4.담보마스터'!G23)</f>
        <v/>
      </c>
      <c r="M24" s="37" t="str">
        <f t="shared" si="3"/>
        <v/>
      </c>
      <c r="N24" s="3" t="str">
        <f>IF('4.담보마스터'!H23="","",'4.담보마스터'!H23)</f>
        <v>항암치료의 통원 전환으로 통원일당 수요 증가</v>
      </c>
      <c r="O24" s="3" t="str">
        <f>IF('4.담보마스터'!I23="","",'4.담보마스터'!I23)</f>
        <v>미가입</v>
      </c>
    </row>
    <row r="25" spans="1:15" ht="24">
      <c r="A25" s="12"/>
      <c r="B25" s="32" t="str">
        <f>IF('4.담보마스터'!C24="","",'4.담보마스터'!C24)</f>
        <v>암</v>
      </c>
      <c r="C25" s="33" t="str">
        <f>IF('4.담보마스터'!D24="","",'4.담보마스터'!D24)</f>
        <v>고액암(특정암)</v>
      </c>
      <c r="D25" s="32" t="str">
        <f>IF('4.담보마스터'!E24="","",'4.담보마스터'!E24)</f>
        <v>만원</v>
      </c>
      <c r="E25" s="34">
        <f>IF($C25="","",SUMIFS('5.담보원장'!$G$5:$G$68,'5.담보원장'!$F$5:$F$68,$C25,'5.담보원장'!$B$5:$B$68,E$4))</f>
        <v>0</v>
      </c>
      <c r="F25" s="34">
        <f>IF($C25="","",SUMIFS('5.담보원장'!$G$5:$G$68,'5.담보원장'!$F$5:$F$68,$C25,'5.담보원장'!$B$5:$B$68,F$4))</f>
        <v>0</v>
      </c>
      <c r="G25" s="34">
        <f>IF($C25="","",SUMIFS('5.담보원장'!$G$5:$G$68,'5.담보원장'!$F$5:$F$68,$C25,'5.담보원장'!$B$5:$B$68,G$4))</f>
        <v>0</v>
      </c>
      <c r="H25" s="35">
        <f t="shared" si="0"/>
        <v>0</v>
      </c>
      <c r="I25" s="34">
        <f>IF('4.담보마스터'!F24="","",'4.담보마스터'!F24)</f>
        <v>5000</v>
      </c>
      <c r="J25" s="34">
        <f t="shared" si="1"/>
        <v>-5000</v>
      </c>
      <c r="K25" s="36" t="str">
        <f t="shared" si="2"/>
        <v>미가입</v>
      </c>
      <c r="L25" s="37">
        <f>IF('4.담보마스터'!G24="","",'4.담보마스터'!G24)</f>
        <v>5000</v>
      </c>
      <c r="M25" s="37">
        <f t="shared" si="3"/>
        <v>-5000</v>
      </c>
      <c r="N25" s="3" t="str">
        <f>IF('4.담보마스터'!H24="","",'4.담보마스터'!H24)</f>
        <v>고액암 범위 확대(백혈병·뇌암·골수암·췌장암 등)</v>
      </c>
      <c r="O25" s="3" t="str">
        <f>IF('4.담보마스터'!I24="","",'4.담보마스터'!I24)</f>
        <v>미가입 (-5,000만)</v>
      </c>
    </row>
    <row r="26" spans="1:15" ht="36">
      <c r="A26" s="12"/>
      <c r="B26" s="32" t="str">
        <f>IF('4.담보마스터'!C25="","",'4.담보마스터'!C25)</f>
        <v>암</v>
      </c>
      <c r="C26" s="33" t="str">
        <f>IF('4.담보마스터'!D25="","",'4.담보마스터'!D25)</f>
        <v>유사암(소액암)</v>
      </c>
      <c r="D26" s="32" t="str">
        <f>IF('4.담보마스터'!E25="","",'4.담보마스터'!E25)</f>
        <v>만원</v>
      </c>
      <c r="E26" s="34">
        <f>IF($C26="","",SUMIFS('5.담보원장'!$G$5:$G$68,'5.담보원장'!$F$5:$F$68,$C26,'5.담보원장'!$B$5:$B$68,E$4))</f>
        <v>0</v>
      </c>
      <c r="F26" s="34">
        <f>IF($C26="","",SUMIFS('5.담보원장'!$G$5:$G$68,'5.담보원장'!$F$5:$F$68,$C26,'5.담보원장'!$B$5:$B$68,F$4))</f>
        <v>0</v>
      </c>
      <c r="G26" s="34">
        <f>IF($C26="","",SUMIFS('5.담보원장'!$G$5:$G$68,'5.담보원장'!$F$5:$F$68,$C26,'5.담보원장'!$B$5:$B$68,G$4))</f>
        <v>0</v>
      </c>
      <c r="H26" s="35">
        <f t="shared" si="0"/>
        <v>0</v>
      </c>
      <c r="I26" s="34">
        <f>IF('4.담보마스터'!F25="","",'4.담보마스터'!F25)</f>
        <v>2000</v>
      </c>
      <c r="J26" s="34">
        <f t="shared" si="1"/>
        <v>-2000</v>
      </c>
      <c r="K26" s="36" t="str">
        <f t="shared" si="2"/>
        <v>미가입</v>
      </c>
      <c r="L26" s="37">
        <f>IF('4.담보마스터'!G25="","",'4.담보마스터'!G25)</f>
        <v>2000</v>
      </c>
      <c r="M26" s="37">
        <f t="shared" si="3"/>
        <v>-2000</v>
      </c>
      <c r="N26" s="3" t="str">
        <f>IF('4.담보마스터'!H25="","",'4.담보마스터'!H25)</f>
        <v>유사암 한도 상향(1,000만 → 2,000만 이상). 여성 갑상선암 발생 비중이 높아 실효성 큼</v>
      </c>
      <c r="O26" s="3" t="str">
        <f>IF('4.담보마스터'!I25="","",'4.담보마스터'!I25)</f>
        <v>미가입 (-2,000만). 36세 여성 기준 발생빈도 1순위 영역</v>
      </c>
    </row>
    <row r="27" spans="1:15" ht="24">
      <c r="A27" s="12"/>
      <c r="B27" s="32" t="str">
        <f>IF('4.담보마스터'!C26="","",'4.담보마스터'!C26)</f>
        <v>암</v>
      </c>
      <c r="C27" s="33" t="str">
        <f>IF('4.담보마스터'!D26="","",'4.담보마스터'!D26)</f>
        <v>표적항암약물허가치료비</v>
      </c>
      <c r="D27" s="32" t="str">
        <f>IF('4.담보마스터'!E26="","",'4.담보마스터'!E26)</f>
        <v>만원</v>
      </c>
      <c r="E27" s="34">
        <f>IF($C27="","",SUMIFS('5.담보원장'!$G$5:$G$68,'5.담보원장'!$F$5:$F$68,$C27,'5.담보원장'!$B$5:$B$68,E$4))</f>
        <v>0</v>
      </c>
      <c r="F27" s="34">
        <f>IF($C27="","",SUMIFS('5.담보원장'!$G$5:$G$68,'5.담보원장'!$F$5:$F$68,$C27,'5.담보원장'!$B$5:$B$68,F$4))</f>
        <v>0</v>
      </c>
      <c r="G27" s="34">
        <f>IF($C27="","",SUMIFS('5.담보원장'!$G$5:$G$68,'5.담보원장'!$F$5:$F$68,$C27,'5.담보원장'!$B$5:$B$68,G$4))</f>
        <v>0</v>
      </c>
      <c r="H27" s="35">
        <f t="shared" si="0"/>
        <v>0</v>
      </c>
      <c r="I27" s="34">
        <f>IF('4.담보마스터'!F26="","",'4.담보마스터'!F26)</f>
        <v>3000</v>
      </c>
      <c r="J27" s="34">
        <f t="shared" si="1"/>
        <v>-3000</v>
      </c>
      <c r="K27" s="36" t="str">
        <f t="shared" si="2"/>
        <v>미가입</v>
      </c>
      <c r="L27" s="37">
        <f>IF('4.담보마스터'!G26="","",'4.담보마스터'!G26)</f>
        <v>5000</v>
      </c>
      <c r="M27" s="37">
        <f t="shared" si="3"/>
        <v>-5000</v>
      </c>
      <c r="N27" s="3" t="str">
        <f>IF('4.담보마스터'!H26="","",'4.담보마스터'!H26)</f>
        <v>표적·면역항암 치료비를 별도 담보화, 연간 반복지급형(1년 1회 한)</v>
      </c>
      <c r="O27" s="3" t="str">
        <f>IF('4.담보마스터'!I26="","",'4.담보마스터'!I26)</f>
        <v>미가입 (-3,000만). 타그리소 4주 600만원 등 고액 비급여 대응 불가</v>
      </c>
    </row>
    <row r="28" spans="1:15" ht="36">
      <c r="A28" s="12"/>
      <c r="B28" s="32" t="str">
        <f>IF('4.담보마스터'!C27="","",'4.담보마스터'!C27)</f>
        <v>암</v>
      </c>
      <c r="C28" s="33" t="str">
        <f>IF('4.담보마스터'!D27="","",'4.담보마스터'!D27)</f>
        <v>항암방사선·약물치료비</v>
      </c>
      <c r="D28" s="32" t="str">
        <f>IF('4.담보마스터'!E27="","",'4.담보마스터'!E27)</f>
        <v>만원</v>
      </c>
      <c r="E28" s="34">
        <f>IF($C28="","",SUMIFS('5.담보원장'!$G$5:$G$68,'5.담보원장'!$F$5:$F$68,$C28,'5.담보원장'!$B$5:$B$68,E$4))</f>
        <v>0</v>
      </c>
      <c r="F28" s="34">
        <f>IF($C28="","",SUMIFS('5.담보원장'!$G$5:$G$68,'5.담보원장'!$F$5:$F$68,$C28,'5.담보원장'!$B$5:$B$68,F$4))</f>
        <v>0</v>
      </c>
      <c r="G28" s="34">
        <f>IF($C28="","",SUMIFS('5.담보원장'!$G$5:$G$68,'5.담보원장'!$F$5:$F$68,$C28,'5.담보원장'!$B$5:$B$68,G$4))</f>
        <v>0</v>
      </c>
      <c r="H28" s="35">
        <f t="shared" si="0"/>
        <v>0</v>
      </c>
      <c r="I28" s="34" t="str">
        <f>IF('4.담보마스터'!F27="","",'4.담보마스터'!F27)</f>
        <v/>
      </c>
      <c r="J28" s="34" t="str">
        <f t="shared" si="1"/>
        <v/>
      </c>
      <c r="K28" s="36" t="str">
        <f t="shared" si="2"/>
        <v>－</v>
      </c>
      <c r="L28" s="37">
        <f>IF('4.담보마스터'!G27="","",'4.담보마스터'!G27)</f>
        <v>1000</v>
      </c>
      <c r="M28" s="37">
        <f t="shared" si="3"/>
        <v>-1000</v>
      </c>
      <c r="N28" s="3" t="str">
        <f>IF('4.담보마스터'!H27="","",'4.담보마스터'!H27)</f>
        <v>회차별 증가형(치료 반복 시 지급액 증액) 신설 — 흥국화재 5대질병 통합치료지원비 최대 1,000만</v>
      </c>
      <c r="O28" s="3" t="str">
        <f>IF('4.담보마스터'!I27="","",'4.담보마스터'!I27)</f>
        <v>미가입</v>
      </c>
    </row>
    <row r="29" spans="1:15">
      <c r="A29" s="12"/>
      <c r="B29" s="32" t="str">
        <f>IF('4.담보마스터'!C28="","",'4.담보마스터'!C28)</f>
        <v>암</v>
      </c>
      <c r="C29" s="33" t="str">
        <f>IF('4.담보마스터'!D28="","",'4.담보마스터'!D28)</f>
        <v>양성자/호르몬/세기조절</v>
      </c>
      <c r="D29" s="32" t="str">
        <f>IF('4.담보마스터'!E28="","",'4.담보마스터'!E28)</f>
        <v>만원</v>
      </c>
      <c r="E29" s="34">
        <f>IF($C29="","",SUMIFS('5.담보원장'!$G$5:$G$68,'5.담보원장'!$F$5:$F$68,$C29,'5.담보원장'!$B$5:$B$68,E$4))</f>
        <v>0</v>
      </c>
      <c r="F29" s="34">
        <f>IF($C29="","",SUMIFS('5.담보원장'!$G$5:$G$68,'5.담보원장'!$F$5:$F$68,$C29,'5.담보원장'!$B$5:$B$68,F$4))</f>
        <v>0</v>
      </c>
      <c r="G29" s="34">
        <f>IF($C29="","",SUMIFS('5.담보원장'!$G$5:$G$68,'5.담보원장'!$F$5:$F$68,$C29,'5.담보원장'!$B$5:$B$68,G$4))</f>
        <v>0</v>
      </c>
      <c r="H29" s="35">
        <f t="shared" si="0"/>
        <v>0</v>
      </c>
      <c r="I29" s="34" t="str">
        <f>IF('4.담보마스터'!F28="","",'4.담보마스터'!F28)</f>
        <v/>
      </c>
      <c r="J29" s="34" t="str">
        <f t="shared" si="1"/>
        <v/>
      </c>
      <c r="K29" s="36" t="str">
        <f t="shared" si="2"/>
        <v>－</v>
      </c>
      <c r="L29" s="37">
        <f>IF('4.담보마스터'!G28="","",'4.담보마스터'!G28)</f>
        <v>3000</v>
      </c>
      <c r="M29" s="37">
        <f t="shared" si="3"/>
        <v>-3000</v>
      </c>
      <c r="N29" s="3" t="str">
        <f>IF('4.담보마스터'!H28="","",'4.담보마스터'!H28)</f>
        <v>중입자·양성자 치료비 별도 담보화</v>
      </c>
      <c r="O29" s="3" t="str">
        <f>IF('4.담보마스터'!I28="","",'4.담보마스터'!I28)</f>
        <v>미가입</v>
      </c>
    </row>
    <row r="30" spans="1:15" ht="144">
      <c r="A30" s="12"/>
      <c r="B30" s="32" t="str">
        <f>IF('4.담보마스터'!C29="","",'4.담보마스터'!C29)</f>
        <v>암</v>
      </c>
      <c r="C30" s="38" t="str">
        <f>IF('4.담보마스터'!D29="","",'4.담보마스터'!D29)</f>
        <v>암주요치료비(비급여 포함)</v>
      </c>
      <c r="D30" s="32" t="str">
        <f>IF('4.담보마스터'!E29="","",'4.담보마스터'!E29)</f>
        <v>만원</v>
      </c>
      <c r="E30" s="34">
        <f>IF($C30="","",SUMIFS('5.담보원장'!$G$5:$G$68,'5.담보원장'!$F$5:$F$68,$C30,'5.담보원장'!$B$5:$B$68,E$4))</f>
        <v>0</v>
      </c>
      <c r="F30" s="34">
        <f>IF($C30="","",SUMIFS('5.담보원장'!$G$5:$G$68,'5.담보원장'!$F$5:$F$68,$C30,'5.담보원장'!$B$5:$B$68,F$4))</f>
        <v>0</v>
      </c>
      <c r="G30" s="34">
        <f>IF($C30="","",SUMIFS('5.담보원장'!$G$5:$G$68,'5.담보원장'!$F$5:$F$68,$C30,'5.담보원장'!$B$5:$B$68,G$4))</f>
        <v>0</v>
      </c>
      <c r="H30" s="35">
        <f t="shared" si="0"/>
        <v>0</v>
      </c>
      <c r="I30" s="34" t="str">
        <f>IF('4.담보마스터'!F29="","",'4.담보마스터'!F29)</f>
        <v/>
      </c>
      <c r="J30" s="34" t="str">
        <f t="shared" si="1"/>
        <v/>
      </c>
      <c r="K30" s="36" t="str">
        <f t="shared" si="2"/>
        <v>－</v>
      </c>
      <c r="L30" s="37">
        <f>IF('4.담보마스터'!G29="","",'4.담보마스터'!G29)</f>
        <v>3000</v>
      </c>
      <c r="M30" s="37">
        <f t="shared" si="3"/>
        <v>-3000</v>
      </c>
      <c r="N30" s="3" t="str">
        <f>IF('4.담보마스터'!H29="","",'4.담보마스터'!H29)</f>
        <v>★★★2026 3대 핵심 트렌드 ①. 2024년 2월 삼성화재를 시작으로 전 손보사 확산. '진단 시 한 번'이 아니라 수술·항암약물치료·항암방사선치료 등 실제 치료행위를 받을 때마다 반복 지급. 표적항암제(연 6,000만~1억 2,000만원), 중입자치료(1코스 5,000만~8,000만원), 로봇수술 등 고액 비급여를 직접 보전. 치료예약 확정 시 선지급(초기 50% → 현재 70%). DB손보 최대 1억 2,000만원 / 비급여 암치료비 최대 8,000만원. 현재는 정액형만 판매(2024년 11월 비례형 중단). 시장 통용 설계 3,000만원 내외</v>
      </c>
      <c r="O30" s="3" t="str">
        <f>IF('4.담보마스터'!I29="","",'4.담보마스터'!I29)</f>
        <v>★미가입 — 최우선 검토 대상. 계약①의 암 담보는 진단 1,000만·수술 100만·입원일당 5만이 전부로, '치료 단계'를 보전하는 담보가 하나도 없습니다. 실손(2세대)이 급여 치료비는 막아주지만 표적항암제·중입자치료 같은 비급여 고액치료는 실손 한도로 감당되지 않습니다. 가입 시 병원등급 기준(종합병원 / 암종합치료기관 / 상급종합병원 중 어디까지 인정하는지)을 반드시 확인해야 합니다</v>
      </c>
    </row>
    <row r="31" spans="1:15" ht="24">
      <c r="A31" s="12"/>
      <c r="B31" s="32" t="str">
        <f>IF('4.담보마스터'!C30="","",'4.담보마스터'!C30)</f>
        <v>특정질환</v>
      </c>
      <c r="C31" s="33" t="str">
        <f>IF('4.담보마스터'!D30="","",'4.담보마스터'!D30)</f>
        <v>특정질병수술</v>
      </c>
      <c r="D31" s="32" t="str">
        <f>IF('4.담보마스터'!E30="","",'4.담보마스터'!E30)</f>
        <v>만원</v>
      </c>
      <c r="E31" s="34">
        <f>IF($C31="","",SUMIFS('5.담보원장'!$G$5:$G$68,'5.담보원장'!$F$5:$F$68,$C31,'5.담보원장'!$B$5:$B$68,E$4))</f>
        <v>0</v>
      </c>
      <c r="F31" s="34">
        <f>IF($C31="","",SUMIFS('5.담보원장'!$G$5:$G$68,'5.담보원장'!$F$5:$F$68,$C31,'5.담보원장'!$B$5:$B$68,F$4))</f>
        <v>0</v>
      </c>
      <c r="G31" s="34">
        <f>IF($C31="","",SUMIFS('5.담보원장'!$G$5:$G$68,'5.담보원장'!$F$5:$F$68,$C31,'5.담보원장'!$B$5:$B$68,G$4))</f>
        <v>0</v>
      </c>
      <c r="H31" s="35">
        <f t="shared" si="0"/>
        <v>0</v>
      </c>
      <c r="I31" s="34" t="str">
        <f>IF('4.담보마스터'!F30="","",'4.담보마스터'!F30)</f>
        <v/>
      </c>
      <c r="J31" s="34" t="str">
        <f t="shared" si="1"/>
        <v/>
      </c>
      <c r="K31" s="36" t="str">
        <f t="shared" si="2"/>
        <v>－</v>
      </c>
      <c r="L31" s="37" t="str">
        <f>IF('4.담보마스터'!G30="","",'4.담보마스터'!G30)</f>
        <v/>
      </c>
      <c r="M31" s="37" t="str">
        <f t="shared" si="3"/>
        <v/>
      </c>
      <c r="N31" s="3" t="str">
        <f>IF('4.담보마스터'!H30="","",'4.담보마스터'!H30)</f>
        <v>16대 → N대 확대. 아래 '수술비-N대질병' 행으로 집계</v>
      </c>
      <c r="O31" s="3" t="str">
        <f>IF('4.담보마스터'!I30="","",'4.담보마스터'!I30)</f>
        <v>계약① 16대질병수술 100만은 '수술비-N대질병' 행에 집계(중복 방지)</v>
      </c>
    </row>
    <row r="32" spans="1:15" ht="24">
      <c r="A32" s="12"/>
      <c r="B32" s="32" t="str">
        <f>IF('4.담보마스터'!C31="","",'4.담보마스터'!C31)</f>
        <v>특정질환</v>
      </c>
      <c r="C32" s="33" t="str">
        <f>IF('4.담보마스터'!D31="","",'4.담보마스터'!D31)</f>
        <v>특정질병입원</v>
      </c>
      <c r="D32" s="32" t="str">
        <f>IF('4.담보마스터'!E31="","",'4.담보마스터'!E31)</f>
        <v>만원/일</v>
      </c>
      <c r="E32" s="34">
        <f>IF($C32="","",SUMIFS('5.담보원장'!$G$5:$G$68,'5.담보원장'!$F$5:$F$68,$C32,'5.담보원장'!$B$5:$B$68,E$4))</f>
        <v>0</v>
      </c>
      <c r="F32" s="34">
        <f>IF($C32="","",SUMIFS('5.담보원장'!$G$5:$G$68,'5.담보원장'!$F$5:$F$68,$C32,'5.담보원장'!$B$5:$B$68,F$4))</f>
        <v>0</v>
      </c>
      <c r="G32" s="34">
        <f>IF($C32="","",SUMIFS('5.담보원장'!$G$5:$G$68,'5.담보원장'!$F$5:$F$68,$C32,'5.담보원장'!$B$5:$B$68,G$4))</f>
        <v>0</v>
      </c>
      <c r="H32" s="35">
        <f t="shared" si="0"/>
        <v>0</v>
      </c>
      <c r="I32" s="34" t="str">
        <f>IF('4.담보마스터'!F31="","",'4.담보마스터'!F31)</f>
        <v/>
      </c>
      <c r="J32" s="34" t="str">
        <f t="shared" si="1"/>
        <v/>
      </c>
      <c r="K32" s="36" t="str">
        <f t="shared" si="2"/>
        <v>－</v>
      </c>
      <c r="L32" s="37" t="str">
        <f>IF('4.담보마스터'!G31="","",'4.담보마스터'!G31)</f>
        <v/>
      </c>
      <c r="M32" s="37" t="str">
        <f t="shared" si="3"/>
        <v/>
      </c>
      <c r="N32" s="3" t="str">
        <f>IF('4.담보마스터'!H31="","",'4.담보마스터'!H31)</f>
        <v>성인질환 입원일당은 '입원일당-N대질병' 행으로 집계</v>
      </c>
      <c r="O32" s="3" t="str">
        <f>IF('4.담보마스터'!I31="","",'4.담보마스터'!I31)</f>
        <v>계약① 2만은 '입원일당-N대질병' 행에 집계(중복 방지)</v>
      </c>
    </row>
    <row r="33" spans="1:15" ht="36">
      <c r="A33" s="12"/>
      <c r="B33" s="32" t="str">
        <f>IF('4.담보마스터'!C32="","",'4.담보마스터'!C32)</f>
        <v>특정질환</v>
      </c>
      <c r="C33" s="33" t="str">
        <f>IF('4.담보마스터'!D32="","",'4.담보마스터'!D32)</f>
        <v>특정질병진단</v>
      </c>
      <c r="D33" s="32" t="str">
        <f>IF('4.담보마스터'!E32="","",'4.담보마스터'!E32)</f>
        <v>만원</v>
      </c>
      <c r="E33" s="34">
        <f>IF($C33="","",SUMIFS('5.담보원장'!$G$5:$G$68,'5.담보원장'!$F$5:$F$68,$C33,'5.담보원장'!$B$5:$B$68,E$4))</f>
        <v>0</v>
      </c>
      <c r="F33" s="34">
        <f>IF($C33="","",SUMIFS('5.담보원장'!$G$5:$G$68,'5.담보원장'!$F$5:$F$68,$C33,'5.담보원장'!$B$5:$B$68,F$4))</f>
        <v>0</v>
      </c>
      <c r="G33" s="34">
        <f>IF($C33="","",SUMIFS('5.담보원장'!$G$5:$G$68,'5.담보원장'!$F$5:$F$68,$C33,'5.담보원장'!$B$5:$B$68,G$4))</f>
        <v>0</v>
      </c>
      <c r="H33" s="35">
        <f t="shared" si="0"/>
        <v>0</v>
      </c>
      <c r="I33" s="34" t="str">
        <f>IF('4.담보마스터'!F32="","",'4.담보마스터'!F32)</f>
        <v/>
      </c>
      <c r="J33" s="34" t="str">
        <f t="shared" si="1"/>
        <v/>
      </c>
      <c r="K33" s="36" t="str">
        <f t="shared" si="2"/>
        <v>－</v>
      </c>
      <c r="L33" s="37" t="str">
        <f>IF('4.담보마스터'!G32="","",'4.담보마스터'!G32)</f>
        <v/>
      </c>
      <c r="M33" s="37" t="str">
        <f t="shared" si="3"/>
        <v/>
      </c>
      <c r="N33" s="3" t="str">
        <f>IF('4.담보마스터'!H32="","",'4.담보마스터'!H32)</f>
        <v>생활질환(고혈압·당뇨·고지혈) 통합보장으로 진화 — 흥국화재 7종 세분화, 롯데손보 고당지 3·6·10</v>
      </c>
      <c r="O33" s="3" t="str">
        <f>IF('4.담보마스터'!I32="","",'4.담보마스터'!I32)</f>
        <v>미가입</v>
      </c>
    </row>
    <row r="34" spans="1:15" ht="24">
      <c r="A34" s="12"/>
      <c r="B34" s="32" t="str">
        <f>IF('4.담보마스터'!C33="","",'4.담보마스터'!C33)</f>
        <v>특정질환</v>
      </c>
      <c r="C34" s="33" t="str">
        <f>IF('4.담보마스터'!D33="","",'4.담보마스터'!D33)</f>
        <v>뇌혈관질환 수술비</v>
      </c>
      <c r="D34" s="32" t="str">
        <f>IF('4.담보마스터'!E33="","",'4.담보마스터'!E33)</f>
        <v>만원</v>
      </c>
      <c r="E34" s="34">
        <f>IF($C34="","",SUMIFS('5.담보원장'!$G$5:$G$68,'5.담보원장'!$F$5:$F$68,$C34,'5.담보원장'!$B$5:$B$68,E$4))</f>
        <v>0</v>
      </c>
      <c r="F34" s="34">
        <f>IF($C34="","",SUMIFS('5.담보원장'!$G$5:$G$68,'5.담보원장'!$F$5:$F$68,$C34,'5.담보원장'!$B$5:$B$68,F$4))</f>
        <v>0</v>
      </c>
      <c r="G34" s="34">
        <f>IF($C34="","",SUMIFS('5.담보원장'!$G$5:$G$68,'5.담보원장'!$F$5:$F$68,$C34,'5.담보원장'!$B$5:$B$68,G$4))</f>
        <v>0</v>
      </c>
      <c r="H34" s="35">
        <f t="shared" si="0"/>
        <v>0</v>
      </c>
      <c r="I34" s="34">
        <f>IF('4.담보마스터'!F33="","",'4.담보마스터'!F33)</f>
        <v>1000</v>
      </c>
      <c r="J34" s="34">
        <f t="shared" si="1"/>
        <v>-1000</v>
      </c>
      <c r="K34" s="36" t="str">
        <f t="shared" si="2"/>
        <v>미가입</v>
      </c>
      <c r="L34" s="37">
        <f>IF('4.담보마스터'!G33="","",'4.담보마스터'!G33)</f>
        <v>1000</v>
      </c>
      <c r="M34" s="37">
        <f t="shared" si="3"/>
        <v>-1000</v>
      </c>
      <c r="N34" s="3" t="str">
        <f>IF('4.담보마스터'!H33="","",'4.담보마스터'!H33)</f>
        <v>수술비 → 주요치료비 → 순환계 통합치료비로 3단계 진화</v>
      </c>
      <c r="O34" s="3" t="str">
        <f>IF('4.담보마스터'!I33="","",'4.담보마스터'!I33)</f>
        <v>미가입 (-1,000만)</v>
      </c>
    </row>
    <row r="35" spans="1:15" ht="24">
      <c r="A35" s="12"/>
      <c r="B35" s="32" t="str">
        <f>IF('4.담보마스터'!C34="","",'4.담보마스터'!C34)</f>
        <v>특정질환</v>
      </c>
      <c r="C35" s="33" t="str">
        <f>IF('4.담보마스터'!D34="","",'4.담보마스터'!D34)</f>
        <v>허혈성심장질환 수술비</v>
      </c>
      <c r="D35" s="32" t="str">
        <f>IF('4.담보마스터'!E34="","",'4.담보마스터'!E34)</f>
        <v>만원</v>
      </c>
      <c r="E35" s="34">
        <f>IF($C35="","",SUMIFS('5.담보원장'!$G$5:$G$68,'5.담보원장'!$F$5:$F$68,$C35,'5.담보원장'!$B$5:$B$68,E$4))</f>
        <v>0</v>
      </c>
      <c r="F35" s="34">
        <f>IF($C35="","",SUMIFS('5.담보원장'!$G$5:$G$68,'5.담보원장'!$F$5:$F$68,$C35,'5.담보원장'!$B$5:$B$68,F$4))</f>
        <v>0</v>
      </c>
      <c r="G35" s="34">
        <f>IF($C35="","",SUMIFS('5.담보원장'!$G$5:$G$68,'5.담보원장'!$F$5:$F$68,$C35,'5.담보원장'!$B$5:$B$68,G$4))</f>
        <v>0</v>
      </c>
      <c r="H35" s="35">
        <f t="shared" si="0"/>
        <v>0</v>
      </c>
      <c r="I35" s="34">
        <f>IF('4.담보마스터'!F34="","",'4.담보마스터'!F34)</f>
        <v>1000</v>
      </c>
      <c r="J35" s="34">
        <f t="shared" si="1"/>
        <v>-1000</v>
      </c>
      <c r="K35" s="36" t="str">
        <f t="shared" si="2"/>
        <v>미가입</v>
      </c>
      <c r="L35" s="37">
        <f>IF('4.담보마스터'!G34="","",'4.담보마스터'!G34)</f>
        <v>1000</v>
      </c>
      <c r="M35" s="37">
        <f t="shared" si="3"/>
        <v>-1000</v>
      </c>
      <c r="N35" s="3" t="str">
        <f>IF('4.담보마스터'!H34="","",'4.담보마스터'!H34)</f>
        <v>스텐트삽입술·관상동맥우회술 고액화(관상동맥우회술 건당 3,440만원)</v>
      </c>
      <c r="O35" s="3" t="str">
        <f>IF('4.담보마스터'!I34="","",'4.담보마스터'!I34)</f>
        <v>미가입 (-1,000만)</v>
      </c>
    </row>
    <row r="36" spans="1:15">
      <c r="A36" s="12"/>
      <c r="B36" s="32" t="str">
        <f>IF('4.담보마스터'!C35="","",'4.담보마스터'!C35)</f>
        <v>특정질환</v>
      </c>
      <c r="C36" s="33" t="str">
        <f>IF('4.담보마스터'!D35="","",'4.담보마스터'!D35)</f>
        <v>혈전용해제(혈전용해치료비)</v>
      </c>
      <c r="D36" s="32" t="str">
        <f>IF('4.담보마스터'!E35="","",'4.담보마스터'!E35)</f>
        <v>만원</v>
      </c>
      <c r="E36" s="34">
        <f>IF($C36="","",SUMIFS('5.담보원장'!$G$5:$G$68,'5.담보원장'!$F$5:$F$68,$C36,'5.담보원장'!$B$5:$B$68,E$4))</f>
        <v>0</v>
      </c>
      <c r="F36" s="34">
        <f>IF($C36="","",SUMIFS('5.담보원장'!$G$5:$G$68,'5.담보원장'!$F$5:$F$68,$C36,'5.담보원장'!$B$5:$B$68,F$4))</f>
        <v>0</v>
      </c>
      <c r="G36" s="34">
        <f>IF($C36="","",SUMIFS('5.담보원장'!$G$5:$G$68,'5.담보원장'!$F$5:$F$68,$C36,'5.담보원장'!$B$5:$B$68,G$4))</f>
        <v>0</v>
      </c>
      <c r="H36" s="35">
        <f t="shared" si="0"/>
        <v>0</v>
      </c>
      <c r="I36" s="34" t="str">
        <f>IF('4.담보마스터'!F35="","",'4.담보마스터'!F35)</f>
        <v/>
      </c>
      <c r="J36" s="34" t="str">
        <f t="shared" si="1"/>
        <v/>
      </c>
      <c r="K36" s="36" t="str">
        <f t="shared" si="2"/>
        <v>－</v>
      </c>
      <c r="L36" s="37" t="str">
        <f>IF('4.담보마스터'!G35="","",'4.담보마스터'!G35)</f>
        <v/>
      </c>
      <c r="M36" s="37" t="str">
        <f t="shared" si="3"/>
        <v/>
      </c>
      <c r="N36" s="3" t="str">
        <f>IF('4.담보마스터'!H35="","",'4.담보마스터'!H35)</f>
        <v>단독 담보에서 통합치료비로 흡수되는 추세</v>
      </c>
      <c r="O36" s="3" t="str">
        <f>IF('4.담보마스터'!I35="","",'4.담보마스터'!I35)</f>
        <v>미가입</v>
      </c>
    </row>
    <row r="37" spans="1:15" ht="144">
      <c r="A37" s="12"/>
      <c r="B37" s="32" t="str">
        <f>IF('4.담보마스터'!C36="","",'4.담보마스터'!C36)</f>
        <v>특정질환</v>
      </c>
      <c r="C37" s="38" t="str">
        <f>IF('4.담보마스터'!D36="","",'4.담보마스터'!D36)</f>
        <v>뇌·심 주요치료비 / 순환계 통합치료비</v>
      </c>
      <c r="D37" s="32" t="str">
        <f>IF('4.담보마스터'!E36="","",'4.담보마스터'!E36)</f>
        <v>만원</v>
      </c>
      <c r="E37" s="34">
        <f>IF($C37="","",SUMIFS('5.담보원장'!$G$5:$G$68,'5.담보원장'!$F$5:$F$68,$C37,'5.담보원장'!$B$5:$B$68,E$4))</f>
        <v>0</v>
      </c>
      <c r="F37" s="34">
        <f>IF($C37="","",SUMIFS('5.담보원장'!$G$5:$G$68,'5.담보원장'!$F$5:$F$68,$C37,'5.담보원장'!$B$5:$B$68,F$4))</f>
        <v>0</v>
      </c>
      <c r="G37" s="34">
        <f>IF($C37="","",SUMIFS('5.담보원장'!$G$5:$G$68,'5.담보원장'!$F$5:$F$68,$C37,'5.담보원장'!$B$5:$B$68,G$4))</f>
        <v>0</v>
      </c>
      <c r="H37" s="35">
        <f t="shared" si="0"/>
        <v>0</v>
      </c>
      <c r="I37" s="34" t="str">
        <f>IF('4.담보마스터'!F36="","",'4.담보마스터'!F36)</f>
        <v/>
      </c>
      <c r="J37" s="34" t="str">
        <f t="shared" si="1"/>
        <v/>
      </c>
      <c r="K37" s="36" t="str">
        <f t="shared" si="2"/>
        <v>－</v>
      </c>
      <c r="L37" s="37">
        <f>IF('4.담보마스터'!G36="","",'4.담보마스터'!G36)</f>
        <v>2000</v>
      </c>
      <c r="M37" s="37">
        <f t="shared" si="3"/>
        <v>-2000</v>
      </c>
      <c r="N37" s="3" t="str">
        <f>IF('4.담보마스터'!H36="","",'4.담보마스터'!H36)</f>
        <v>★★★2026 3대 핵심 트렌드 ②. 진단비 → 주요치료비 → 순환계 통합치료비의 3단계 진화. ① 대상 확대: 뇌혈관·허혈성심장 2대 질병 → 부정맥·심부전·판막질환 등 순환계 전반(라이나생명 62개 질병코드) ② 지급 사유 확대: MRI·PET·CT 검사, 수술, 혈전용해치료·혈전제거술, 인공호흡기·ECMO, 중환자실 치료, 항응고/항혈소판 주사, 전문재활치료까지 치료 전 과정 ③ 치료 항목별 차등 지급 + 상급종합병원 예약만으로 일부 선지급 ④ 치료기간 소득공백 보전용 생활비 지원 결합. 시장 통용 설계 2,000만원 내외</v>
      </c>
      <c r="O37" s="3" t="str">
        <f>IF('4.담보마스터'!I36="","",'4.담보마스터'!I36)</f>
        <v>★미가입 — 최우선 검토 대상. 신OO님은 뇌·심장 담보가 진단비 단계조차 0원이라, 최신 통합치료비 구조와는 비교 자체가 성립하지 않는 상태입니다. 60대 사망원인 2위 심장질환(33,715명)·3위 뇌혈관질환(25,420명), 관상동맥우회술 건당 3,440만원·뇌기저부수술 2,035만원을 감안하면 진단비 + 통합치료비를 함께 보는 것이 현재 시장 표준입니다</v>
      </c>
    </row>
    <row r="38" spans="1:15" ht="24">
      <c r="A38" s="12"/>
      <c r="B38" s="32" t="str">
        <f>IF('4.담보마스터'!C37="","",'4.담보마스터'!C37)</f>
        <v>특정질환</v>
      </c>
      <c r="C38" s="33" t="str">
        <f>IF('4.담보마스터'!D37="","",'4.담보마스터'!D37)</f>
        <v>5대장기이식술</v>
      </c>
      <c r="D38" s="32" t="str">
        <f>IF('4.담보마스터'!E37="","",'4.담보마스터'!E37)</f>
        <v>만원</v>
      </c>
      <c r="E38" s="34">
        <f>IF($C38="","",SUMIFS('5.담보원장'!$G$5:$G$68,'5.담보원장'!$F$5:$F$68,$C38,'5.담보원장'!$B$5:$B$68,E$4))</f>
        <v>0</v>
      </c>
      <c r="F38" s="34">
        <f>IF($C38="","",SUMIFS('5.담보원장'!$G$5:$G$68,'5.담보원장'!$F$5:$F$68,$C38,'5.담보원장'!$B$5:$B$68,F$4))</f>
        <v>0</v>
      </c>
      <c r="G38" s="34">
        <f>IF($C38="","",SUMIFS('5.담보원장'!$G$5:$G$68,'5.담보원장'!$F$5:$F$68,$C38,'5.담보원장'!$B$5:$B$68,G$4))</f>
        <v>0</v>
      </c>
      <c r="H38" s="35">
        <f t="shared" ref="H38:H69" si="4">IF($C38="","",SUM(E38:G38))</f>
        <v>0</v>
      </c>
      <c r="I38" s="34" t="str">
        <f>IF('4.담보마스터'!F37="","",'4.담보마스터'!F37)</f>
        <v/>
      </c>
      <c r="J38" s="34" t="str">
        <f t="shared" ref="J38:J69" si="5">IF(OR($C38="",$I38=""),"",$H38-$I38)</f>
        <v/>
      </c>
      <c r="K38" s="36" t="str">
        <f t="shared" ref="K38:K69" si="6">IF($C38="","",IF($I38="","－",IF($H38=0,"미가입",IF($H38&gt;=$I38,"충분","부족"))))</f>
        <v>－</v>
      </c>
      <c r="L38" s="37" t="str">
        <f>IF('4.담보마스터'!G37="","",'4.담보마스터'!G37)</f>
        <v/>
      </c>
      <c r="M38" s="37" t="str">
        <f t="shared" ref="M38:M69" si="7">IF(OR($C38="",$L38=""),"",$H38-$L38)</f>
        <v/>
      </c>
      <c r="N38" s="3" t="str">
        <f>IF('4.담보마스터'!H37="","",'4.담보마스터'!H37)</f>
        <v>조혈모세포이식 2,000~3,000만 등 이식 관련 담보 확대</v>
      </c>
      <c r="O38" s="3" t="str">
        <f>IF('4.담보마스터'!I37="","",'4.담보마스터'!I37)</f>
        <v>미가입</v>
      </c>
    </row>
    <row r="39" spans="1:15" ht="24">
      <c r="A39" s="12"/>
      <c r="B39" s="32" t="str">
        <f>IF('4.담보마스터'!C38="","",'4.담보마스터'!C38)</f>
        <v>뇌</v>
      </c>
      <c r="C39" s="33" t="str">
        <f>IF('4.담보마스터'!D38="","",'4.담보마스터'!D38)</f>
        <v>뇌혈관질환(100%)</v>
      </c>
      <c r="D39" s="32" t="str">
        <f>IF('4.담보마스터'!E38="","",'4.담보마스터'!E38)</f>
        <v>만원</v>
      </c>
      <c r="E39" s="34">
        <f>IF($C39="","",SUMIFS('5.담보원장'!$G$5:$G$68,'5.담보원장'!$F$5:$F$68,$C39,'5.담보원장'!$B$5:$B$68,E$4))</f>
        <v>0</v>
      </c>
      <c r="F39" s="34">
        <f>IF($C39="","",SUMIFS('5.담보원장'!$G$5:$G$68,'5.담보원장'!$F$5:$F$68,$C39,'5.담보원장'!$B$5:$B$68,F$4))</f>
        <v>0</v>
      </c>
      <c r="G39" s="34">
        <f>IF($C39="","",SUMIFS('5.담보원장'!$G$5:$G$68,'5.담보원장'!$F$5:$F$68,$C39,'5.담보원장'!$B$5:$B$68,G$4))</f>
        <v>0</v>
      </c>
      <c r="H39" s="35">
        <f t="shared" si="4"/>
        <v>0</v>
      </c>
      <c r="I39" s="34">
        <f>IF('4.담보마스터'!F38="","",'4.담보마스터'!F38)</f>
        <v>3000</v>
      </c>
      <c r="J39" s="34">
        <f t="shared" si="5"/>
        <v>-3000</v>
      </c>
      <c r="K39" s="36" t="str">
        <f t="shared" si="6"/>
        <v>미가입</v>
      </c>
      <c r="L39" s="37">
        <f>IF('4.담보마스터'!G38="","",'4.담보마스터'!G38)</f>
        <v>3000</v>
      </c>
      <c r="M39" s="37">
        <f t="shared" si="7"/>
        <v>-3000</v>
      </c>
      <c r="N39" s="3" t="str">
        <f>IF('4.담보마스터'!H38="","",'4.담보마스터'!H38)</f>
        <v>진단비(기본) + 통합치료비 결합 설계가 표준. 산정특례 진단비 병행</v>
      </c>
      <c r="O39" s="3" t="str">
        <f>IF('4.담보마스터'!I38="","",'4.담보마스터'!I38)</f>
        <v>미가입 (-3,000만)</v>
      </c>
    </row>
    <row r="40" spans="1:15" ht="24">
      <c r="A40" s="12"/>
      <c r="B40" s="32" t="str">
        <f>IF('4.담보마스터'!C39="","",'4.담보마스터'!C39)</f>
        <v>뇌</v>
      </c>
      <c r="C40" s="33" t="str">
        <f>IF('4.담보마스터'!D39="","",'4.담보마스터'!D39)</f>
        <v>뇌혈관 산정특례</v>
      </c>
      <c r="D40" s="32" t="str">
        <f>IF('4.담보마스터'!E39="","",'4.담보마스터'!E39)</f>
        <v>만원</v>
      </c>
      <c r="E40" s="34">
        <f>IF($C40="","",SUMIFS('5.담보원장'!$G$5:$G$68,'5.담보원장'!$F$5:$F$68,$C40,'5.담보원장'!$B$5:$B$68,E$4))</f>
        <v>0</v>
      </c>
      <c r="F40" s="34">
        <f>IF($C40="","",SUMIFS('5.담보원장'!$G$5:$G$68,'5.담보원장'!$F$5:$F$68,$C40,'5.담보원장'!$B$5:$B$68,F$4))</f>
        <v>0</v>
      </c>
      <c r="G40" s="34">
        <f>IF($C40="","",SUMIFS('5.담보원장'!$G$5:$G$68,'5.담보원장'!$F$5:$F$68,$C40,'5.담보원장'!$B$5:$B$68,G$4))</f>
        <v>0</v>
      </c>
      <c r="H40" s="35">
        <f t="shared" si="4"/>
        <v>0</v>
      </c>
      <c r="I40" s="34" t="str">
        <f>IF('4.담보마스터'!F39="","",'4.담보마스터'!F39)</f>
        <v/>
      </c>
      <c r="J40" s="34" t="str">
        <f t="shared" si="5"/>
        <v/>
      </c>
      <c r="K40" s="36" t="str">
        <f t="shared" si="6"/>
        <v>－</v>
      </c>
      <c r="L40" s="37" t="str">
        <f>IF('4.담보마스터'!G39="","",'4.담보마스터'!G39)</f>
        <v/>
      </c>
      <c r="M40" s="37" t="str">
        <f t="shared" si="7"/>
        <v/>
      </c>
      <c r="N40" s="3" t="str">
        <f>IF('4.담보마스터'!H39="","",'4.담보마스터'!H39)</f>
        <v>산정특례 등록 시 별도 진단비 지급 담보 신설 확산</v>
      </c>
      <c r="O40" s="3" t="str">
        <f>IF('4.담보마스터'!I39="","",'4.담보마스터'!I39)</f>
        <v>미가입</v>
      </c>
    </row>
    <row r="41" spans="1:15" ht="24">
      <c r="A41" s="12"/>
      <c r="B41" s="32" t="str">
        <f>IF('4.담보마스터'!C40="","",'4.담보마스터'!C40)</f>
        <v>뇌</v>
      </c>
      <c r="C41" s="33" t="str">
        <f>IF('4.담보마스터'!D40="","",'4.담보마스터'!D40)</f>
        <v>뇌졸중(77%)</v>
      </c>
      <c r="D41" s="32" t="str">
        <f>IF('4.담보마스터'!E40="","",'4.담보마스터'!E40)</f>
        <v>만원</v>
      </c>
      <c r="E41" s="34">
        <f>IF($C41="","",SUMIFS('5.담보원장'!$G$5:$G$68,'5.담보원장'!$F$5:$F$68,$C41,'5.담보원장'!$B$5:$B$68,E$4))</f>
        <v>0</v>
      </c>
      <c r="F41" s="34">
        <f>IF($C41="","",SUMIFS('5.담보원장'!$G$5:$G$68,'5.담보원장'!$F$5:$F$68,$C41,'5.담보원장'!$B$5:$B$68,F$4))</f>
        <v>0</v>
      </c>
      <c r="G41" s="34">
        <f>IF($C41="","",SUMIFS('5.담보원장'!$G$5:$G$68,'5.담보원장'!$F$5:$F$68,$C41,'5.담보원장'!$B$5:$B$68,G$4))</f>
        <v>0</v>
      </c>
      <c r="H41" s="35">
        <f t="shared" si="4"/>
        <v>0</v>
      </c>
      <c r="I41" s="34">
        <f>IF('4.담보마스터'!F40="","",'4.담보마스터'!F40)</f>
        <v>3000</v>
      </c>
      <c r="J41" s="34">
        <f t="shared" si="5"/>
        <v>-3000</v>
      </c>
      <c r="K41" s="36" t="str">
        <f t="shared" si="6"/>
        <v>미가입</v>
      </c>
      <c r="L41" s="37">
        <f>IF('4.담보마스터'!G40="","",'4.담보마스터'!G40)</f>
        <v>3000</v>
      </c>
      <c r="M41" s="37">
        <f t="shared" si="7"/>
        <v>-3000</v>
      </c>
      <c r="N41" s="3" t="str">
        <f>IF('4.담보마스터'!H40="","",'4.담보마스터'!H40)</f>
        <v>뇌출혈 500~2,000만 / 뇌경색 200~1,000만. 뇌경색 감액 약관 주의</v>
      </c>
      <c r="O41" s="3" t="str">
        <f>IF('4.담보마스터'!I40="","",'4.담보마스터'!I40)</f>
        <v>미가입 (-3,000만)</v>
      </c>
    </row>
    <row r="42" spans="1:15" ht="24">
      <c r="A42" s="12"/>
      <c r="B42" s="32" t="str">
        <f>IF('4.담보마스터'!C41="","",'4.담보마스터'!C41)</f>
        <v>뇌</v>
      </c>
      <c r="C42" s="33" t="str">
        <f>IF('4.담보마스터'!D41="","",'4.담보마스터'!D41)</f>
        <v>뇌출혈(16%)</v>
      </c>
      <c r="D42" s="32" t="str">
        <f>IF('4.담보마스터'!E41="","",'4.담보마스터'!E41)</f>
        <v>만원</v>
      </c>
      <c r="E42" s="34">
        <f>IF($C42="","",SUMIFS('5.담보원장'!$G$5:$G$68,'5.담보원장'!$F$5:$F$68,$C42,'5.담보원장'!$B$5:$B$68,E$4))</f>
        <v>0</v>
      </c>
      <c r="F42" s="34">
        <f>IF($C42="","",SUMIFS('5.담보원장'!$G$5:$G$68,'5.담보원장'!$F$5:$F$68,$C42,'5.담보원장'!$B$5:$B$68,F$4))</f>
        <v>0</v>
      </c>
      <c r="G42" s="34">
        <f>IF($C42="","",SUMIFS('5.담보원장'!$G$5:$G$68,'5.담보원장'!$F$5:$F$68,$C42,'5.담보원장'!$B$5:$B$68,G$4))</f>
        <v>0</v>
      </c>
      <c r="H42" s="35">
        <f t="shared" si="4"/>
        <v>0</v>
      </c>
      <c r="I42" s="34">
        <f>IF('4.담보마스터'!F41="","",'4.담보마스터'!F41)</f>
        <v>3000</v>
      </c>
      <c r="J42" s="34">
        <f t="shared" si="5"/>
        <v>-3000</v>
      </c>
      <c r="K42" s="36" t="str">
        <f t="shared" si="6"/>
        <v>미가입</v>
      </c>
      <c r="L42" s="37" t="str">
        <f>IF('4.담보마스터'!G41="","",'4.담보마스터'!G41)</f>
        <v/>
      </c>
      <c r="M42" s="37" t="str">
        <f t="shared" si="7"/>
        <v/>
      </c>
      <c r="N42" s="3" t="str">
        <f>IF('4.담보마스터'!H41="","",'4.담보마스터'!H41)</f>
        <v>후유장해 50% 이상 시 추가 1,000~2,000만 지급형 확산</v>
      </c>
      <c r="O42" s="3" t="str">
        <f>IF('4.담보마스터'!I41="","",'4.담보마스터'!I41)</f>
        <v>미가입 (-3,000만)</v>
      </c>
    </row>
    <row r="43" spans="1:15" ht="24">
      <c r="A43" s="12"/>
      <c r="B43" s="32" t="str">
        <f>IF('4.담보마스터'!C42="","",'4.담보마스터'!C42)</f>
        <v>심장</v>
      </c>
      <c r="C43" s="33" t="str">
        <f>IF('4.담보마스터'!D42="","",'4.담보마스터'!D42)</f>
        <v>심혈관질환(100%)</v>
      </c>
      <c r="D43" s="32" t="str">
        <f>IF('4.담보마스터'!E42="","",'4.담보마스터'!E42)</f>
        <v>만원</v>
      </c>
      <c r="E43" s="34">
        <f>IF($C43="","",SUMIFS('5.담보원장'!$G$5:$G$68,'5.담보원장'!$F$5:$F$68,$C43,'5.담보원장'!$B$5:$B$68,E$4))</f>
        <v>0</v>
      </c>
      <c r="F43" s="34">
        <f>IF($C43="","",SUMIFS('5.담보원장'!$G$5:$G$68,'5.담보원장'!$F$5:$F$68,$C43,'5.담보원장'!$B$5:$B$68,F$4))</f>
        <v>0</v>
      </c>
      <c r="G43" s="34">
        <f>IF($C43="","",SUMIFS('5.담보원장'!$G$5:$G$68,'5.담보원장'!$F$5:$F$68,$C43,'5.담보원장'!$B$5:$B$68,G$4))</f>
        <v>0</v>
      </c>
      <c r="H43" s="35">
        <f t="shared" si="4"/>
        <v>0</v>
      </c>
      <c r="I43" s="34" t="str">
        <f>IF('4.담보마스터'!F42="","",'4.담보마스터'!F42)</f>
        <v/>
      </c>
      <c r="J43" s="34" t="str">
        <f t="shared" si="5"/>
        <v/>
      </c>
      <c r="K43" s="36" t="str">
        <f t="shared" si="6"/>
        <v>－</v>
      </c>
      <c r="L43" s="37">
        <f>IF('4.담보마스터'!G42="","",'4.담보마스터'!G42)</f>
        <v>3000</v>
      </c>
      <c r="M43" s="37">
        <f t="shared" si="7"/>
        <v>-3000</v>
      </c>
      <c r="N43" s="3" t="str">
        <f>IF('4.담보마스터'!H42="","",'4.담보마스터'!H42)</f>
        <v>허혈성 대비 보장범위가 넓은 심혈관질환 진단비로 상향 설계</v>
      </c>
      <c r="O43" s="3" t="str">
        <f>IF('4.담보마스터'!I42="","",'4.담보마스터'!I42)</f>
        <v>미가입</v>
      </c>
    </row>
    <row r="44" spans="1:15">
      <c r="A44" s="12"/>
      <c r="B44" s="32" t="str">
        <f>IF('4.담보마스터'!C43="","",'4.담보마스터'!C43)</f>
        <v>심장</v>
      </c>
      <c r="C44" s="33" t="str">
        <f>IF('4.담보마스터'!D43="","",'4.담보마스터'!D43)</f>
        <v>심장 산정특례</v>
      </c>
      <c r="D44" s="32" t="str">
        <f>IF('4.담보마스터'!E43="","",'4.담보마스터'!E43)</f>
        <v>만원</v>
      </c>
      <c r="E44" s="34">
        <f>IF($C44="","",SUMIFS('5.담보원장'!$G$5:$G$68,'5.담보원장'!$F$5:$F$68,$C44,'5.담보원장'!$B$5:$B$68,E$4))</f>
        <v>0</v>
      </c>
      <c r="F44" s="34">
        <f>IF($C44="","",SUMIFS('5.담보원장'!$G$5:$G$68,'5.담보원장'!$F$5:$F$68,$C44,'5.담보원장'!$B$5:$B$68,F$4))</f>
        <v>0</v>
      </c>
      <c r="G44" s="34">
        <f>IF($C44="","",SUMIFS('5.담보원장'!$G$5:$G$68,'5.담보원장'!$F$5:$F$68,$C44,'5.담보원장'!$B$5:$B$68,G$4))</f>
        <v>0</v>
      </c>
      <c r="H44" s="35">
        <f t="shared" si="4"/>
        <v>0</v>
      </c>
      <c r="I44" s="34" t="str">
        <f>IF('4.담보마스터'!F43="","",'4.담보마스터'!F43)</f>
        <v/>
      </c>
      <c r="J44" s="34" t="str">
        <f t="shared" si="5"/>
        <v/>
      </c>
      <c r="K44" s="36" t="str">
        <f t="shared" si="6"/>
        <v>－</v>
      </c>
      <c r="L44" s="37" t="str">
        <f>IF('4.담보마스터'!G43="","",'4.담보마스터'!G43)</f>
        <v/>
      </c>
      <c r="M44" s="37" t="str">
        <f t="shared" si="7"/>
        <v/>
      </c>
      <c r="N44" s="3" t="str">
        <f>IF('4.담보마스터'!H43="","",'4.담보마스터'!H43)</f>
        <v>산정특례 진단비 병행 설계</v>
      </c>
      <c r="O44" s="3" t="str">
        <f>IF('4.담보마스터'!I43="","",'4.담보마스터'!I43)</f>
        <v>미가입</v>
      </c>
    </row>
    <row r="45" spans="1:15" ht="24">
      <c r="A45" s="12"/>
      <c r="B45" s="32" t="str">
        <f>IF('4.담보마스터'!C44="","",'4.담보마스터'!C44)</f>
        <v>심장</v>
      </c>
      <c r="C45" s="33" t="str">
        <f>IF('4.담보마스터'!D44="","",'4.담보마스터'!D44)</f>
        <v>허혈성심장질환(85%)</v>
      </c>
      <c r="D45" s="32" t="str">
        <f>IF('4.담보마스터'!E44="","",'4.담보마스터'!E44)</f>
        <v>만원</v>
      </c>
      <c r="E45" s="34">
        <f>IF($C45="","",SUMIFS('5.담보원장'!$G$5:$G$68,'5.담보원장'!$F$5:$F$68,$C45,'5.담보원장'!$B$5:$B$68,E$4))</f>
        <v>0</v>
      </c>
      <c r="F45" s="34">
        <f>IF($C45="","",SUMIFS('5.담보원장'!$G$5:$G$68,'5.담보원장'!$F$5:$F$68,$C45,'5.담보원장'!$B$5:$B$68,F$4))</f>
        <v>0</v>
      </c>
      <c r="G45" s="34">
        <f>IF($C45="","",SUMIFS('5.담보원장'!$G$5:$G$68,'5.담보원장'!$F$5:$F$68,$C45,'5.담보원장'!$B$5:$B$68,G$4))</f>
        <v>0</v>
      </c>
      <c r="H45" s="35">
        <f t="shared" si="4"/>
        <v>0</v>
      </c>
      <c r="I45" s="34">
        <f>IF('4.담보마스터'!F44="","",'4.담보마스터'!F44)</f>
        <v>3000</v>
      </c>
      <c r="J45" s="34">
        <f t="shared" si="5"/>
        <v>-3000</v>
      </c>
      <c r="K45" s="36" t="str">
        <f t="shared" si="6"/>
        <v>미가입</v>
      </c>
      <c r="L45" s="37">
        <f>IF('4.담보마스터'!G44="","",'4.담보마스터'!G44)</f>
        <v>3000</v>
      </c>
      <c r="M45" s="37">
        <f t="shared" si="7"/>
        <v>-3000</v>
      </c>
      <c r="N45" s="3" t="str">
        <f>IF('4.담보마스터'!H44="","",'4.담보마스터'!H44)</f>
        <v>60대 사망원인 2위(심장질환 33,715명). 진단비 + 통합치료비 결합</v>
      </c>
      <c r="O45" s="3" t="str">
        <f>IF('4.담보마스터'!I44="","",'4.담보마스터'!I44)</f>
        <v>미가입 (-3,000만)</v>
      </c>
    </row>
    <row r="46" spans="1:15" ht="24">
      <c r="A46" s="12"/>
      <c r="B46" s="32" t="str">
        <f>IF('4.담보마스터'!C45="","",'4.담보마스터'!C45)</f>
        <v>심장</v>
      </c>
      <c r="C46" s="33" t="str">
        <f>IF('4.담보마스터'!D45="","",'4.담보마스터'!D45)</f>
        <v>급성심근경색증(8%)</v>
      </c>
      <c r="D46" s="32" t="str">
        <f>IF('4.담보마스터'!E45="","",'4.담보마스터'!E45)</f>
        <v>만원</v>
      </c>
      <c r="E46" s="34">
        <f>IF($C46="","",SUMIFS('5.담보원장'!$G$5:$G$68,'5.담보원장'!$F$5:$F$68,$C46,'5.담보원장'!$B$5:$B$68,E$4))</f>
        <v>0</v>
      </c>
      <c r="F46" s="34">
        <f>IF($C46="","",SUMIFS('5.담보원장'!$G$5:$G$68,'5.담보원장'!$F$5:$F$68,$C46,'5.담보원장'!$B$5:$B$68,F$4))</f>
        <v>0</v>
      </c>
      <c r="G46" s="34">
        <f>IF($C46="","",SUMIFS('5.담보원장'!$G$5:$G$68,'5.담보원장'!$F$5:$F$68,$C46,'5.담보원장'!$B$5:$B$68,G$4))</f>
        <v>0</v>
      </c>
      <c r="H46" s="35">
        <f t="shared" si="4"/>
        <v>0</v>
      </c>
      <c r="I46" s="34">
        <f>IF('4.담보마스터'!F45="","",'4.담보마스터'!F45)</f>
        <v>3000</v>
      </c>
      <c r="J46" s="34">
        <f t="shared" si="5"/>
        <v>-3000</v>
      </c>
      <c r="K46" s="36" t="str">
        <f t="shared" si="6"/>
        <v>미가입</v>
      </c>
      <c r="L46" s="37" t="str">
        <f>IF('4.담보마스터'!G45="","",'4.담보마스터'!G45)</f>
        <v/>
      </c>
      <c r="M46" s="37" t="str">
        <f t="shared" si="7"/>
        <v/>
      </c>
      <c r="N46" s="3" t="str">
        <f>IF('4.담보마스터'!H45="","",'4.담보마스터'!H45)</f>
        <v>급심 단독보다 허혈성/심혈관 상위담보 우선 설계 권장</v>
      </c>
      <c r="O46" s="3" t="str">
        <f>IF('4.담보마스터'!I45="","",'4.담보마스터'!I45)</f>
        <v>미가입 (-3,000만)</v>
      </c>
    </row>
    <row r="47" spans="1:15" ht="24">
      <c r="A47" s="12"/>
      <c r="B47" s="32" t="str">
        <f>IF('4.담보마스터'!C46="","",'4.담보마스터'!C46)</f>
        <v>기타</v>
      </c>
      <c r="C47" s="33" t="str">
        <f>IF('4.담보마스터'!D46="","",'4.담보마스터'!D46)</f>
        <v>골절진단비</v>
      </c>
      <c r="D47" s="32" t="str">
        <f>IF('4.담보마스터'!E46="","",'4.담보마스터'!E46)</f>
        <v>만원</v>
      </c>
      <c r="E47" s="34">
        <f>IF($C47="","",SUMIFS('5.담보원장'!$G$5:$G$68,'5.담보원장'!$F$5:$F$68,$C47,'5.담보원장'!$B$5:$B$68,E$4))</f>
        <v>30</v>
      </c>
      <c r="F47" s="34">
        <f>IF($C47="","",SUMIFS('5.담보원장'!$G$5:$G$68,'5.담보원장'!$F$5:$F$68,$C47,'5.담보원장'!$B$5:$B$68,F$4))</f>
        <v>50</v>
      </c>
      <c r="G47" s="34">
        <f>IF($C47="","",SUMIFS('5.담보원장'!$G$5:$G$68,'5.담보원장'!$F$5:$F$68,$C47,'5.담보원장'!$B$5:$B$68,G$4))</f>
        <v>0</v>
      </c>
      <c r="H47" s="35">
        <f t="shared" si="4"/>
        <v>80</v>
      </c>
      <c r="I47" s="34">
        <f>IF('4.담보마스터'!F46="","",'4.담보마스터'!F46)</f>
        <v>100</v>
      </c>
      <c r="J47" s="34">
        <f t="shared" si="5"/>
        <v>-20</v>
      </c>
      <c r="K47" s="36" t="str">
        <f t="shared" si="6"/>
        <v>부족</v>
      </c>
      <c r="L47" s="37" t="str">
        <f>IF('4.담보마스터'!G46="","",'4.담보마스터'!G46)</f>
        <v/>
      </c>
      <c r="M47" s="37" t="str">
        <f t="shared" si="7"/>
        <v/>
      </c>
      <c r="N47" s="3" t="str">
        <f>IF('4.담보마스터'!H46="","",'4.담보마스터'!H46)</f>
        <v>치아파절 포함형으로 확대, 깁스치료비·부목 별도 담보화</v>
      </c>
      <c r="O47" s="3" t="str">
        <f>IF('4.담보마스터'!I46="","",'4.담보마스터'!I46)</f>
        <v>계약① 30만 + 계약② 50만 = 80만 (권장 100만 대비 -20만)</v>
      </c>
    </row>
    <row r="48" spans="1:15" ht="24">
      <c r="A48" s="12"/>
      <c r="B48" s="32" t="str">
        <f>IF('4.담보마스터'!C47="","",'4.담보마스터'!C47)</f>
        <v>기타</v>
      </c>
      <c r="C48" s="33" t="str">
        <f>IF('4.담보마스터'!D47="","",'4.담보마스터'!D47)</f>
        <v>화상진단비</v>
      </c>
      <c r="D48" s="32" t="str">
        <f>IF('4.담보마스터'!E47="","",'4.담보마스터'!E47)</f>
        <v>만원</v>
      </c>
      <c r="E48" s="34">
        <f>IF($C48="","",SUMIFS('5.담보원장'!$G$5:$G$68,'5.담보원장'!$F$5:$F$68,$C48,'5.담보원장'!$B$5:$B$68,E$4))</f>
        <v>50</v>
      </c>
      <c r="F48" s="34">
        <f>IF($C48="","",SUMIFS('5.담보원장'!$G$5:$G$68,'5.담보원장'!$F$5:$F$68,$C48,'5.담보원장'!$B$5:$B$68,F$4))</f>
        <v>0</v>
      </c>
      <c r="G48" s="34">
        <f>IF($C48="","",SUMIFS('5.담보원장'!$G$5:$G$68,'5.담보원장'!$F$5:$F$68,$C48,'5.담보원장'!$B$5:$B$68,G$4))</f>
        <v>0</v>
      </c>
      <c r="H48" s="35">
        <f t="shared" si="4"/>
        <v>50</v>
      </c>
      <c r="I48" s="34" t="str">
        <f>IF('4.담보마스터'!F47="","",'4.담보마스터'!F47)</f>
        <v/>
      </c>
      <c r="J48" s="34" t="str">
        <f t="shared" si="5"/>
        <v/>
      </c>
      <c r="K48" s="36" t="str">
        <f t="shared" si="6"/>
        <v>－</v>
      </c>
      <c r="L48" s="37" t="str">
        <f>IF('4.담보마스터'!G47="","",'4.담보마스터'!G47)</f>
        <v/>
      </c>
      <c r="M48" s="37" t="str">
        <f t="shared" si="7"/>
        <v/>
      </c>
      <c r="N48" s="3" t="str">
        <f>IF('4.담보마스터'!H47="","",'4.담보마스터'!H47)</f>
        <v>중증(심재성 2도 이상)화상 2,000만 별도 담보</v>
      </c>
      <c r="O48" s="3" t="str">
        <f>IF('4.담보마스터'!I47="","",'4.담보마스터'!I47)</f>
        <v>계약① 50만</v>
      </c>
    </row>
    <row r="49" spans="1:15">
      <c r="A49" s="12"/>
      <c r="B49" s="32" t="str">
        <f>IF('4.담보마스터'!C48="","",'4.담보마스터'!C48)</f>
        <v>기타</v>
      </c>
      <c r="C49" s="33" t="str">
        <f>IF('4.담보마스터'!D48="","",'4.담보마스터'!D48)</f>
        <v>골절·화상 수술비</v>
      </c>
      <c r="D49" s="32" t="str">
        <f>IF('4.담보마스터'!E48="","",'4.담보마스터'!E48)</f>
        <v>만원</v>
      </c>
      <c r="E49" s="34">
        <f>IF($C49="","",SUMIFS('5.담보원장'!$G$5:$G$68,'5.담보원장'!$F$5:$F$68,$C49,'5.담보원장'!$B$5:$B$68,E$4))</f>
        <v>160</v>
      </c>
      <c r="F49" s="34">
        <f>IF($C49="","",SUMIFS('5.담보원장'!$G$5:$G$68,'5.담보원장'!$F$5:$F$68,$C49,'5.담보원장'!$B$5:$B$68,F$4))</f>
        <v>0</v>
      </c>
      <c r="G49" s="34">
        <f>IF($C49="","",SUMIFS('5.담보원장'!$G$5:$G$68,'5.담보원장'!$F$5:$F$68,$C49,'5.담보원장'!$B$5:$B$68,G$4))</f>
        <v>0</v>
      </c>
      <c r="H49" s="35">
        <f t="shared" si="4"/>
        <v>160</v>
      </c>
      <c r="I49" s="34" t="str">
        <f>IF('4.담보마스터'!F48="","",'4.담보마스터'!F48)</f>
        <v/>
      </c>
      <c r="J49" s="34" t="str">
        <f t="shared" si="5"/>
        <v/>
      </c>
      <c r="K49" s="36" t="str">
        <f t="shared" si="6"/>
        <v>－</v>
      </c>
      <c r="L49" s="37" t="str">
        <f>IF('4.담보마스터'!G48="","",'4.담보마스터'!G48)</f>
        <v/>
      </c>
      <c r="M49" s="37" t="str">
        <f t="shared" si="7"/>
        <v/>
      </c>
      <c r="N49" s="3" t="str">
        <f>IF('4.담보마스터'!H48="","",'4.담보마스터'!H48)</f>
        <v>인공관절수술 100만, 깁스 10만 등 세분화</v>
      </c>
      <c r="O49" s="3" t="str">
        <f>IF('4.담보마스터'!I48="","",'4.담보마스터'!I48)</f>
        <v>계약① 골절수술 60만 + 화상수술 100만</v>
      </c>
    </row>
    <row r="50" spans="1:15" ht="48">
      <c r="A50" s="12"/>
      <c r="B50" s="32" t="str">
        <f>IF('4.담보마스터'!C49="","",'4.담보마스터'!C49)</f>
        <v>기타</v>
      </c>
      <c r="C50" s="33" t="str">
        <f>IF('4.담보마스터'!D49="","",'4.담보마스터'!D49)</f>
        <v>특정상해수술(부위별 합계)</v>
      </c>
      <c r="D50" s="32" t="str">
        <f>IF('4.담보마스터'!E49="","",'4.담보마스터'!E49)</f>
        <v>만원</v>
      </c>
      <c r="E50" s="34">
        <f>IF($C50="","",SUMIFS('5.담보원장'!$G$5:$G$68,'5.담보원장'!$F$5:$F$68,$C50,'5.담보원장'!$B$5:$B$68,E$4))</f>
        <v>0</v>
      </c>
      <c r="F50" s="34">
        <f>IF($C50="","",SUMIFS('5.담보원장'!$G$5:$G$68,'5.담보원장'!$F$5:$F$68,$C50,'5.담보원장'!$B$5:$B$68,F$4))</f>
        <v>560</v>
      </c>
      <c r="G50" s="34">
        <f>IF($C50="","",SUMIFS('5.담보원장'!$G$5:$G$68,'5.담보원장'!$F$5:$F$68,$C50,'5.담보원장'!$B$5:$B$68,G$4))</f>
        <v>0</v>
      </c>
      <c r="H50" s="35">
        <f t="shared" si="4"/>
        <v>560</v>
      </c>
      <c r="I50" s="34" t="str">
        <f>IF('4.담보마스터'!F49="","",'4.담보마스터'!F49)</f>
        <v/>
      </c>
      <c r="J50" s="34" t="str">
        <f t="shared" si="5"/>
        <v/>
      </c>
      <c r="K50" s="36" t="str">
        <f t="shared" si="6"/>
        <v>－</v>
      </c>
      <c r="L50" s="37" t="str">
        <f>IF('4.담보마스터'!G49="","",'4.담보마스터'!G49)</f>
        <v/>
      </c>
      <c r="M50" s="37" t="str">
        <f t="shared" si="7"/>
        <v/>
      </c>
      <c r="N50" s="3" t="str">
        <f>IF('4.담보마스터'!H49="","",'4.담보마스터'!H49)</f>
        <v>부위별 특정상해수술은 운전자·상해보험의 표준 구성</v>
      </c>
      <c r="O50" s="3" t="str">
        <f>IF('4.담보마스터'!I49="","",'4.담보마스터'!I49)</f>
        <v>계약② 관절30/뇌·내장100/무릎인대30/아킬레스50/안면흉터성형200/외상성척추50/인공관절100 — 부위별 개별 담보로 1사고 합산지급 아님</v>
      </c>
    </row>
    <row r="51" spans="1:15" ht="24">
      <c r="A51" s="12"/>
      <c r="B51" s="32" t="str">
        <f>IF('4.담보마스터'!C50="","",'4.담보마스터'!C50)</f>
        <v>기타</v>
      </c>
      <c r="C51" s="33" t="str">
        <f>IF('4.담보마스터'!D50="","",'4.담보마스터'!D50)</f>
        <v>특정부위(팔·손가락) 상해후유장해</v>
      </c>
      <c r="D51" s="32" t="str">
        <f>IF('4.담보마스터'!E50="","",'4.담보마스터'!E50)</f>
        <v>만원</v>
      </c>
      <c r="E51" s="34">
        <f>IF($C51="","",SUMIFS('5.담보원장'!$G$5:$G$68,'5.담보원장'!$F$5:$F$68,$C51,'5.담보원장'!$B$5:$B$68,E$4))</f>
        <v>0</v>
      </c>
      <c r="F51" s="34">
        <f>IF($C51="","",SUMIFS('5.담보원장'!$G$5:$G$68,'5.담보원장'!$F$5:$F$68,$C51,'5.담보원장'!$B$5:$B$68,F$4))</f>
        <v>1000</v>
      </c>
      <c r="G51" s="34">
        <f>IF($C51="","",SUMIFS('5.담보원장'!$G$5:$G$68,'5.담보원장'!$F$5:$F$68,$C51,'5.담보원장'!$B$5:$B$68,G$4))</f>
        <v>0</v>
      </c>
      <c r="H51" s="35">
        <f t="shared" si="4"/>
        <v>1000</v>
      </c>
      <c r="I51" s="34" t="str">
        <f>IF('4.담보마스터'!F50="","",'4.담보마스터'!F50)</f>
        <v/>
      </c>
      <c r="J51" s="34" t="str">
        <f t="shared" si="5"/>
        <v/>
      </c>
      <c r="K51" s="36" t="str">
        <f t="shared" si="6"/>
        <v>－</v>
      </c>
      <c r="L51" s="37" t="str">
        <f>IF('4.담보마스터'!G50="","",'4.담보마스터'!G50)</f>
        <v/>
      </c>
      <c r="M51" s="37" t="str">
        <f t="shared" si="7"/>
        <v/>
      </c>
      <c r="N51" s="3" t="str">
        <f>IF('4.담보마스터'!H50="","",'4.담보마스터'!H50)</f>
        <v>부위 한정 후유장해 담보</v>
      </c>
      <c r="O51" s="3" t="str">
        <f>IF('4.담보마스터'!I50="","",'4.담보마스터'!I50)</f>
        <v>계약② 1,000만. 부위 한정이므로 일반 상해후유장해와 별도 집계</v>
      </c>
    </row>
    <row r="52" spans="1:15" ht="24">
      <c r="A52" s="12"/>
      <c r="B52" s="32" t="str">
        <f>IF('4.담보마스터'!C51="","",'4.담보마스터'!C51)</f>
        <v>기타</v>
      </c>
      <c r="C52" s="33" t="str">
        <f>IF('4.담보마스터'!D51="","",'4.담보마스터'!D51)</f>
        <v>중환자실·응급실 일당</v>
      </c>
      <c r="D52" s="32" t="str">
        <f>IF('4.담보마스터'!E51="","",'4.담보마스터'!E51)</f>
        <v>만원/일</v>
      </c>
      <c r="E52" s="34">
        <f>IF($C52="","",SUMIFS('5.담보원장'!$G$5:$G$68,'5.담보원장'!$F$5:$F$68,$C52,'5.담보원장'!$B$5:$B$68,E$4))</f>
        <v>0</v>
      </c>
      <c r="F52" s="34">
        <f>IF($C52="","",SUMIFS('5.담보원장'!$G$5:$G$68,'5.담보원장'!$F$5:$F$68,$C52,'5.담보원장'!$B$5:$B$68,F$4))</f>
        <v>0</v>
      </c>
      <c r="G52" s="34">
        <f>IF($C52="","",SUMIFS('5.담보원장'!$G$5:$G$68,'5.담보원장'!$F$5:$F$68,$C52,'5.담보원장'!$B$5:$B$68,G$4))</f>
        <v>0</v>
      </c>
      <c r="H52" s="35">
        <f t="shared" si="4"/>
        <v>0</v>
      </c>
      <c r="I52" s="34" t="str">
        <f>IF('4.담보마스터'!F51="","",'4.담보마스터'!F51)</f>
        <v/>
      </c>
      <c r="J52" s="34" t="str">
        <f t="shared" si="5"/>
        <v/>
      </c>
      <c r="K52" s="36" t="str">
        <f t="shared" si="6"/>
        <v>－</v>
      </c>
      <c r="L52" s="37" t="str">
        <f>IF('4.담보마스터'!G51="","",'4.담보마스터'!G51)</f>
        <v/>
      </c>
      <c r="M52" s="37" t="str">
        <f t="shared" si="7"/>
        <v/>
      </c>
      <c r="N52" s="3" t="str">
        <f>IF('4.담보마스터'!H51="","",'4.담보마스터'!H51)</f>
        <v>중환자실 15~20만/일(30~60일), 상급병실 10~15만/일 트렌드</v>
      </c>
      <c r="O52" s="3" t="str">
        <f>IF('4.담보마스터'!I51="","",'4.담보마스터'!I51)</f>
        <v>미가입</v>
      </c>
    </row>
    <row r="53" spans="1:15" ht="24">
      <c r="A53" s="12"/>
      <c r="B53" s="32" t="str">
        <f>IF('4.담보마스터'!C52="","",'4.담보마스터'!C52)</f>
        <v>기타</v>
      </c>
      <c r="C53" s="33" t="str">
        <f>IF('4.담보마스터'!D52="","",'4.담보마스터'!D52)</f>
        <v>기타 질환(양성뇌종양·특정전염병 등)</v>
      </c>
      <c r="D53" s="32" t="str">
        <f>IF('4.담보마스터'!E52="","",'4.담보마스터'!E52)</f>
        <v>만원</v>
      </c>
      <c r="E53" s="34">
        <f>IF($C53="","",SUMIFS('5.담보원장'!$G$5:$G$68,'5.담보원장'!$F$5:$F$68,$C53,'5.담보원장'!$B$5:$B$68,E$4))</f>
        <v>0</v>
      </c>
      <c r="F53" s="34">
        <f>IF($C53="","",SUMIFS('5.담보원장'!$G$5:$G$68,'5.담보원장'!$F$5:$F$68,$C53,'5.담보원장'!$B$5:$B$68,F$4))</f>
        <v>0</v>
      </c>
      <c r="G53" s="34">
        <f>IF($C53="","",SUMIFS('5.담보원장'!$G$5:$G$68,'5.담보원장'!$F$5:$F$68,$C53,'5.담보원장'!$B$5:$B$68,G$4))</f>
        <v>0</v>
      </c>
      <c r="H53" s="35">
        <f t="shared" si="4"/>
        <v>0</v>
      </c>
      <c r="I53" s="34" t="str">
        <f>IF('4.담보마스터'!F52="","",'4.담보마스터'!F52)</f>
        <v/>
      </c>
      <c r="J53" s="34" t="str">
        <f t="shared" si="5"/>
        <v/>
      </c>
      <c r="K53" s="36" t="str">
        <f t="shared" si="6"/>
        <v>－</v>
      </c>
      <c r="L53" s="37" t="str">
        <f>IF('4.담보마스터'!G52="","",'4.담보마스터'!G52)</f>
        <v/>
      </c>
      <c r="M53" s="37" t="str">
        <f t="shared" si="7"/>
        <v/>
      </c>
      <c r="N53" s="3" t="str">
        <f>IF('4.담보마스터'!H52="","",'4.담보마스터'!H52)</f>
        <v>만성질환 통합보장 및 유병자 인수기준 완화(입원·수술 확인기간 5년 → 2년)</v>
      </c>
      <c r="O53" s="3" t="str">
        <f>IF('4.담보마스터'!I52="","",'4.담보마스터'!I52)</f>
        <v>미가입</v>
      </c>
    </row>
    <row r="54" spans="1:15" ht="60">
      <c r="A54" s="12"/>
      <c r="B54" s="32" t="str">
        <f>IF('4.담보마스터'!C53="","",'4.담보마스터'!C53)</f>
        <v>기타</v>
      </c>
      <c r="C54" s="33" t="str">
        <f>IF('4.담보마스터'!D53="","",'4.담보마스터'!D53)</f>
        <v>근골격계 비급여 정액담보(도수·체외충격파·증식)</v>
      </c>
      <c r="D54" s="32" t="str">
        <f>IF('4.담보마스터'!E53="","",'4.담보마스터'!E53)</f>
        <v>만원</v>
      </c>
      <c r="E54" s="34">
        <f>IF($C54="","",SUMIFS('5.담보원장'!$G$5:$G$68,'5.담보원장'!$F$5:$F$68,$C54,'5.담보원장'!$B$5:$B$68,E$4))</f>
        <v>0</v>
      </c>
      <c r="F54" s="34">
        <f>IF($C54="","",SUMIFS('5.담보원장'!$G$5:$G$68,'5.담보원장'!$F$5:$F$68,$C54,'5.담보원장'!$B$5:$B$68,F$4))</f>
        <v>0</v>
      </c>
      <c r="G54" s="34">
        <f>IF($C54="","",SUMIFS('5.담보원장'!$G$5:$G$68,'5.담보원장'!$F$5:$F$68,$C54,'5.담보원장'!$B$5:$B$68,G$4))</f>
        <v>0</v>
      </c>
      <c r="H54" s="35">
        <f t="shared" si="4"/>
        <v>0</v>
      </c>
      <c r="I54" s="34" t="str">
        <f>IF('4.담보마스터'!F53="","",'4.담보마스터'!F53)</f>
        <v/>
      </c>
      <c r="J54" s="34" t="str">
        <f t="shared" si="5"/>
        <v/>
      </c>
      <c r="K54" s="36" t="str">
        <f t="shared" si="6"/>
        <v>－</v>
      </c>
      <c r="L54" s="37" t="str">
        <f>IF('4.담보마스터'!G53="","",'4.담보마스터'!G53)</f>
        <v/>
      </c>
      <c r="M54" s="37" t="str">
        <f t="shared" si="7"/>
        <v/>
      </c>
      <c r="N54" s="3" t="str">
        <f>IF('4.담보마스터'!H53="","",'4.담보마스터'!H53)</f>
        <v>5세대에서 3대 비급여(도수·비급여주사·MRI) 보장 제외 방안이 추진되면서 별도 정액담보로 분리 판매되는 추세</v>
      </c>
      <c r="O54" s="3" t="str">
        <f>IF('4.담보마스터'!I53="","",'4.담보마스터'!I53)</f>
        <v>별도 특약 없음. 다만 신OO님의 2세대 실손은 3대 비급여가 기본 보장에 포함(자기부담 10%)되어 현재로서는 이 담보의 필요성이 낮습니다 — 2세대를 유지할 이유가 하나 더 있는 셈</v>
      </c>
    </row>
    <row r="55" spans="1:15" ht="36">
      <c r="A55" s="12"/>
      <c r="B55" s="32" t="str">
        <f>IF('4.담보마스터'!C54="","",'4.담보마스터'!C54)</f>
        <v>기타</v>
      </c>
      <c r="C55" s="33" t="str">
        <f>IF('4.담보마스터'!D54="","",'4.담보마스터'!D54)</f>
        <v>비급여 주사제 담보</v>
      </c>
      <c r="D55" s="32" t="str">
        <f>IF('4.담보마스터'!E54="","",'4.담보마스터'!E54)</f>
        <v>만원</v>
      </c>
      <c r="E55" s="34">
        <f>IF($C55="","",SUMIFS('5.담보원장'!$G$5:$G$68,'5.담보원장'!$F$5:$F$68,$C55,'5.담보원장'!$B$5:$B$68,E$4))</f>
        <v>0</v>
      </c>
      <c r="F55" s="34">
        <f>IF($C55="","",SUMIFS('5.담보원장'!$G$5:$G$68,'5.담보원장'!$F$5:$F$68,$C55,'5.담보원장'!$B$5:$B$68,F$4))</f>
        <v>0</v>
      </c>
      <c r="G55" s="34">
        <f>IF($C55="","",SUMIFS('5.담보원장'!$G$5:$G$68,'5.담보원장'!$F$5:$F$68,$C55,'5.담보원장'!$B$5:$B$68,G$4))</f>
        <v>0</v>
      </c>
      <c r="H55" s="35">
        <f t="shared" si="4"/>
        <v>0</v>
      </c>
      <c r="I55" s="34" t="str">
        <f>IF('4.담보마스터'!F54="","",'4.담보마스터'!F54)</f>
        <v/>
      </c>
      <c r="J55" s="34" t="str">
        <f t="shared" si="5"/>
        <v/>
      </c>
      <c r="K55" s="36" t="str">
        <f t="shared" si="6"/>
        <v>－</v>
      </c>
      <c r="L55" s="37" t="str">
        <f>IF('4.담보마스터'!G54="","",'4.담보마스터'!G54)</f>
        <v/>
      </c>
      <c r="M55" s="37" t="str">
        <f t="shared" si="7"/>
        <v/>
      </c>
      <c r="N55" s="3" t="str">
        <f>IF('4.담보마스터'!H54="","",'4.담보마스터'!H54)</f>
        <v>5세대 비중증 비급여 자기부담 50%·연 1,000만 한도 적용 대상. 별도 정액담보 분리 판매 확산</v>
      </c>
      <c r="O55" s="3" t="str">
        <f>IF('4.담보마스터'!I54="","",'4.담보마스터'!I54)</f>
        <v>별도 특약 없음. 2세대 실손 기본 보장에 포함(자기부담 10%)</v>
      </c>
    </row>
    <row r="56" spans="1:15" ht="36">
      <c r="A56" s="12"/>
      <c r="B56" s="32" t="str">
        <f>IF('4.담보마스터'!C55="","",'4.담보마스터'!C55)</f>
        <v>간병</v>
      </c>
      <c r="C56" s="33" t="str">
        <f>IF('4.담보마스터'!D55="","",'4.담보마스터'!D55)</f>
        <v>간병인사용일당(상해)</v>
      </c>
      <c r="D56" s="32" t="str">
        <f>IF('4.담보마스터'!E55="","",'4.담보마스터'!E55)</f>
        <v>만원/일</v>
      </c>
      <c r="E56" s="34">
        <f>IF($C56="","",SUMIFS('5.담보원장'!$G$5:$G$68,'5.담보원장'!$F$5:$F$68,$C56,'5.담보원장'!$B$5:$B$68,E$4))</f>
        <v>0</v>
      </c>
      <c r="F56" s="34">
        <f>IF($C56="","",SUMIFS('5.담보원장'!$G$5:$G$68,'5.담보원장'!$F$5:$F$68,$C56,'5.담보원장'!$B$5:$B$68,F$4))</f>
        <v>0</v>
      </c>
      <c r="G56" s="34">
        <f>IF($C56="","",SUMIFS('5.담보원장'!$G$5:$G$68,'5.담보원장'!$F$5:$F$68,$C56,'5.담보원장'!$B$5:$B$68,G$4))</f>
        <v>0</v>
      </c>
      <c r="H56" s="35">
        <f t="shared" si="4"/>
        <v>0</v>
      </c>
      <c r="I56" s="34">
        <f>IF('4.담보마스터'!F55="","",'4.담보마스터'!F55)</f>
        <v>25</v>
      </c>
      <c r="J56" s="34">
        <f t="shared" si="5"/>
        <v>-25</v>
      </c>
      <c r="K56" s="36" t="str">
        <f t="shared" si="6"/>
        <v>미가입</v>
      </c>
      <c r="L56" s="37">
        <f>IF('4.담보마스터'!G55="","",'4.담보마스터'!G55)</f>
        <v>10</v>
      </c>
      <c r="M56" s="37">
        <f t="shared" si="7"/>
        <v>-10</v>
      </c>
      <c r="N56" s="3" t="str">
        <f>IF('4.담보마스터'!H55="","",'4.담보마스터'!H55)</f>
        <v>간병인 실제비용 10~15만원/일 → 7~10만원/일 이상 설정 권장. 간병도우미료 물가 전년비 13% 상승</v>
      </c>
      <c r="O56" s="3" t="str">
        <f>IF('4.담보마스터'!I55="","",'4.담보마스터'!I55)</f>
        <v>미가입 (-25만)</v>
      </c>
    </row>
    <row r="57" spans="1:15">
      <c r="A57" s="12"/>
      <c r="B57" s="32" t="str">
        <f>IF('4.담보마스터'!C56="","",'4.담보마스터'!C56)</f>
        <v>간병</v>
      </c>
      <c r="C57" s="33" t="str">
        <f>IF('4.담보마스터'!D56="","",'4.담보마스터'!D56)</f>
        <v>간병인사용일당(질병)</v>
      </c>
      <c r="D57" s="32" t="str">
        <f>IF('4.담보마스터'!E56="","",'4.담보마스터'!E56)</f>
        <v>만원/일</v>
      </c>
      <c r="E57" s="34">
        <f>IF($C57="","",SUMIFS('5.담보원장'!$G$5:$G$68,'5.담보원장'!$F$5:$F$68,$C57,'5.담보원장'!$B$5:$B$68,E$4))</f>
        <v>0</v>
      </c>
      <c r="F57" s="34">
        <f>IF($C57="","",SUMIFS('5.담보원장'!$G$5:$G$68,'5.담보원장'!$F$5:$F$68,$C57,'5.담보원장'!$B$5:$B$68,F$4))</f>
        <v>0</v>
      </c>
      <c r="G57" s="34">
        <f>IF($C57="","",SUMIFS('5.담보원장'!$G$5:$G$68,'5.담보원장'!$F$5:$F$68,$C57,'5.담보원장'!$B$5:$B$68,G$4))</f>
        <v>0</v>
      </c>
      <c r="H57" s="35">
        <f t="shared" si="4"/>
        <v>0</v>
      </c>
      <c r="I57" s="34">
        <f>IF('4.담보마스터'!F56="","",'4.담보마스터'!F56)</f>
        <v>25</v>
      </c>
      <c r="J57" s="34">
        <f t="shared" si="5"/>
        <v>-25</v>
      </c>
      <c r="K57" s="36" t="str">
        <f t="shared" si="6"/>
        <v>미가입</v>
      </c>
      <c r="L57" s="37">
        <f>IF('4.담보마스터'!G56="","",'4.담보마스터'!G56)</f>
        <v>10</v>
      </c>
      <c r="M57" s="37">
        <f t="shared" si="7"/>
        <v>-10</v>
      </c>
      <c r="N57" s="3" t="str">
        <f>IF('4.담보마스터'!H56="","",'4.담보마스터'!H56)</f>
        <v>간호·간병통합서비스 병행형 상품 확산</v>
      </c>
      <c r="O57" s="3" t="str">
        <f>IF('4.담보마스터'!I56="","",'4.담보마스터'!I56)</f>
        <v>미가입 (-25만)</v>
      </c>
    </row>
    <row r="58" spans="1:15" ht="24">
      <c r="A58" s="12"/>
      <c r="B58" s="32" t="str">
        <f>IF('4.담보마스터'!C57="","",'4.담보마스터'!C57)</f>
        <v>간병</v>
      </c>
      <c r="C58" s="33" t="str">
        <f>IF('4.담보마스터'!D57="","",'4.담보마스터'!D57)</f>
        <v>장기요양(1~5등급) 간병비</v>
      </c>
      <c r="D58" s="32" t="str">
        <f>IF('4.담보마스터'!E57="","",'4.담보마스터'!E57)</f>
        <v>만원</v>
      </c>
      <c r="E58" s="34">
        <f>IF($C58="","",SUMIFS('5.담보원장'!$G$5:$G$68,'5.담보원장'!$F$5:$F$68,$C58,'5.담보원장'!$B$5:$B$68,E$4))</f>
        <v>0</v>
      </c>
      <c r="F58" s="34">
        <f>IF($C58="","",SUMIFS('5.담보원장'!$G$5:$G$68,'5.담보원장'!$F$5:$F$68,$C58,'5.담보원장'!$B$5:$B$68,F$4))</f>
        <v>0</v>
      </c>
      <c r="G58" s="34">
        <f>IF($C58="","",SUMIFS('5.담보원장'!$G$5:$G$68,'5.담보원장'!$F$5:$F$68,$C58,'5.담보원장'!$B$5:$B$68,G$4))</f>
        <v>0</v>
      </c>
      <c r="H58" s="35">
        <f t="shared" si="4"/>
        <v>0</v>
      </c>
      <c r="I58" s="34">
        <f>IF('4.담보마스터'!F57="","",'4.담보마스터'!F57)</f>
        <v>3000</v>
      </c>
      <c r="J58" s="34">
        <f t="shared" si="5"/>
        <v>-3000</v>
      </c>
      <c r="K58" s="36" t="str">
        <f t="shared" si="6"/>
        <v>미가입</v>
      </c>
      <c r="L58" s="37">
        <f>IF('4.담보마스터'!G57="","",'4.담보마스터'!G57)</f>
        <v>3000</v>
      </c>
      <c r="M58" s="37">
        <f t="shared" si="7"/>
        <v>-3000</v>
      </c>
      <c r="N58" s="3" t="str">
        <f>IF('4.담보마스터'!H57="","",'4.담보마스터'!H57)</f>
        <v>등급별 차등지급, 5등급·인지지원등급까지 보장 확대</v>
      </c>
      <c r="O58" s="3" t="str">
        <f>IF('4.담보마스터'!I57="","",'4.담보마스터'!I57)</f>
        <v>미가입 (-3,000만)</v>
      </c>
    </row>
    <row r="59" spans="1:15" ht="48">
      <c r="A59" s="12"/>
      <c r="B59" s="32" t="str">
        <f>IF('4.담보마스터'!C58="","",'4.담보마스터'!C58)</f>
        <v>간병</v>
      </c>
      <c r="C59" s="33" t="str">
        <f>IF('4.담보마스터'!D58="","",'4.담보마스터'!D58)</f>
        <v>경증치매(CDR1) 진단비</v>
      </c>
      <c r="D59" s="32" t="str">
        <f>IF('4.담보마스터'!E58="","",'4.담보마스터'!E58)</f>
        <v>만원</v>
      </c>
      <c r="E59" s="34">
        <f>IF($C59="","",SUMIFS('5.담보원장'!$G$5:$G$68,'5.담보원장'!$F$5:$F$68,$C59,'5.담보원장'!$B$5:$B$68,E$4))</f>
        <v>0</v>
      </c>
      <c r="F59" s="34">
        <f>IF($C59="","",SUMIFS('5.담보원장'!$G$5:$G$68,'5.담보원장'!$F$5:$F$68,$C59,'5.담보원장'!$B$5:$B$68,F$4))</f>
        <v>0</v>
      </c>
      <c r="G59" s="34">
        <f>IF($C59="","",SUMIFS('5.담보원장'!$G$5:$G$68,'5.담보원장'!$F$5:$F$68,$C59,'5.담보원장'!$B$5:$B$68,G$4))</f>
        <v>0</v>
      </c>
      <c r="H59" s="35">
        <f t="shared" si="4"/>
        <v>0</v>
      </c>
      <c r="I59" s="34">
        <f>IF('4.담보마스터'!F58="","",'4.담보마스터'!F58)</f>
        <v>10000</v>
      </c>
      <c r="J59" s="34">
        <f t="shared" si="5"/>
        <v>-10000</v>
      </c>
      <c r="K59" s="36" t="str">
        <f t="shared" si="6"/>
        <v>미가입</v>
      </c>
      <c r="L59" s="37">
        <f>IF('4.담보마스터'!G58="","",'4.담보마스터'!G58)</f>
        <v>1000</v>
      </c>
      <c r="M59" s="37">
        <f t="shared" si="7"/>
        <v>-1000</v>
      </c>
      <c r="N59" s="3" t="str">
        <f>IF('4.담보마스터'!H58="","",'4.담보마스터'!H58)</f>
        <v>CDR1 500~1,000만 / CDR2 1,000~2,000만 / CDR3 2,000~3,000만. 신경인지기능 종합검사비 지원, 아밀로이드 베타 표적치료제 회차별 치료비 신설(하나손보)</v>
      </c>
      <c r="O59" s="3" t="str">
        <f>IF('4.담보마스터'!I58="","",'4.담보마스터'!I58)</f>
        <v>미가입 (-1억). 일부 약관은 CDR2부터 지급하므로 CDR1 보장 여부 확인 필요</v>
      </c>
    </row>
    <row r="60" spans="1:15">
      <c r="A60" s="12"/>
      <c r="B60" s="32" t="str">
        <f>IF('4.담보마스터'!C59="","",'4.담보마스터'!C59)</f>
        <v>후유장해</v>
      </c>
      <c r="C60" s="33" t="str">
        <f>IF('4.담보마스터'!D59="","",'4.담보마스터'!D59)</f>
        <v>질병후유장해(80%미만)</v>
      </c>
      <c r="D60" s="32" t="str">
        <f>IF('4.담보마스터'!E59="","",'4.담보마스터'!E59)</f>
        <v>만원</v>
      </c>
      <c r="E60" s="34">
        <f>IF($C60="","",SUMIFS('5.담보원장'!$G$5:$G$68,'5.담보원장'!$F$5:$F$68,$C60,'5.담보원장'!$B$5:$B$68,E$4))</f>
        <v>0</v>
      </c>
      <c r="F60" s="34">
        <f>IF($C60="","",SUMIFS('5.담보원장'!$G$5:$G$68,'5.담보원장'!$F$5:$F$68,$C60,'5.담보원장'!$B$5:$B$68,F$4))</f>
        <v>0</v>
      </c>
      <c r="G60" s="34">
        <f>IF($C60="","",SUMIFS('5.담보원장'!$G$5:$G$68,'5.담보원장'!$F$5:$F$68,$C60,'5.담보원장'!$B$5:$B$68,G$4))</f>
        <v>0</v>
      </c>
      <c r="H60" s="35">
        <f t="shared" si="4"/>
        <v>0</v>
      </c>
      <c r="I60" s="34">
        <f>IF('4.담보마스터'!F59="","",'4.담보마스터'!F59)</f>
        <v>10000</v>
      </c>
      <c r="J60" s="34">
        <f t="shared" si="5"/>
        <v>-10000</v>
      </c>
      <c r="K60" s="36" t="str">
        <f t="shared" si="6"/>
        <v>미가입</v>
      </c>
      <c r="L60" s="37" t="str">
        <f>IF('4.담보마스터'!G59="","",'4.담보마스터'!G59)</f>
        <v/>
      </c>
      <c r="M60" s="37" t="str">
        <f t="shared" si="7"/>
        <v/>
      </c>
      <c r="N60" s="3" t="str">
        <f>IF('4.담보마스터'!H59="","",'4.담보마스터'!H59)</f>
        <v>질병 3% 이상 후유장해 비례보상형 확대</v>
      </c>
      <c r="O60" s="3" t="str">
        <f>IF('4.담보마스터'!I59="","",'4.담보마스터'!I59)</f>
        <v>미가입 (-1억)</v>
      </c>
    </row>
    <row r="61" spans="1:15" ht="24">
      <c r="A61" s="12"/>
      <c r="B61" s="32" t="str">
        <f>IF('4.담보마스터'!C60="","",'4.담보마스터'!C60)</f>
        <v>후유장해</v>
      </c>
      <c r="C61" s="33" t="str">
        <f>IF('4.담보마스터'!D60="","",'4.담보마스터'!D60)</f>
        <v>상해후유장해(80%미만)</v>
      </c>
      <c r="D61" s="32" t="str">
        <f>IF('4.담보마스터'!E60="","",'4.담보마스터'!E60)</f>
        <v>만원</v>
      </c>
      <c r="E61" s="34">
        <f>IF($C61="","",SUMIFS('5.담보원장'!$G$5:$G$68,'5.담보원장'!$F$5:$F$68,$C61,'5.담보원장'!$B$5:$B$68,E$4))</f>
        <v>16000</v>
      </c>
      <c r="F61" s="34">
        <f>IF($C61="","",SUMIFS('5.담보원장'!$G$5:$G$68,'5.담보원장'!$F$5:$F$68,$C61,'5.담보원장'!$B$5:$B$68,F$4))</f>
        <v>0</v>
      </c>
      <c r="G61" s="34">
        <f>IF($C61="","",SUMIFS('5.담보원장'!$G$5:$G$68,'5.담보원장'!$F$5:$F$68,$C61,'5.담보원장'!$B$5:$B$68,G$4))</f>
        <v>0</v>
      </c>
      <c r="H61" s="35">
        <f t="shared" si="4"/>
        <v>16000</v>
      </c>
      <c r="I61" s="34">
        <f>IF('4.담보마스터'!F60="","",'4.담보마스터'!F60)</f>
        <v>10000</v>
      </c>
      <c r="J61" s="34">
        <f t="shared" si="5"/>
        <v>6000</v>
      </c>
      <c r="K61" s="36" t="str">
        <f t="shared" si="6"/>
        <v>충분</v>
      </c>
      <c r="L61" s="37" t="str">
        <f>IF('4.담보마스터'!G60="","",'4.담보마스터'!G60)</f>
        <v/>
      </c>
      <c r="M61" s="37" t="str">
        <f t="shared" si="7"/>
        <v/>
      </c>
      <c r="N61" s="3" t="str">
        <f>IF('4.담보마스터'!H60="","",'4.담보마스터'!H60)</f>
        <v>상해 3% 이상 비례보상이 표준</v>
      </c>
      <c r="O61" s="3" t="str">
        <f>IF('4.담보마스터'!I60="","",'4.담보마스터'!I60)</f>
        <v>계약① 1,000만 + 1억 5,000만 = 1억 6,000만 (권장 1억 대비 +6,000만) — 충분</v>
      </c>
    </row>
    <row r="62" spans="1:15" ht="24">
      <c r="A62" s="12"/>
      <c r="B62" s="32" t="str">
        <f>IF('4.담보마스터'!C61="","",'4.담보마스터'!C61)</f>
        <v>후유장해</v>
      </c>
      <c r="C62" s="33" t="str">
        <f>IF('4.담보마스터'!D61="","",'4.담보마스터'!D61)</f>
        <v>고도장해</v>
      </c>
      <c r="D62" s="32" t="str">
        <f>IF('4.담보마스터'!E61="","",'4.담보마스터'!E61)</f>
        <v>만원</v>
      </c>
      <c r="E62" s="34">
        <f>IF($C62="","",SUMIFS('5.담보원장'!$G$5:$G$68,'5.담보원장'!$F$5:$F$68,$C62,'5.담보원장'!$B$5:$B$68,E$4))</f>
        <v>0</v>
      </c>
      <c r="F62" s="34">
        <f>IF($C62="","",SUMIFS('5.담보원장'!$G$5:$G$68,'5.담보원장'!$F$5:$F$68,$C62,'5.담보원장'!$B$5:$B$68,F$4))</f>
        <v>0</v>
      </c>
      <c r="G62" s="34">
        <f>IF($C62="","",SUMIFS('5.담보원장'!$G$5:$G$68,'5.담보원장'!$F$5:$F$68,$C62,'5.담보원장'!$B$5:$B$68,G$4))</f>
        <v>0</v>
      </c>
      <c r="H62" s="35">
        <f t="shared" si="4"/>
        <v>0</v>
      </c>
      <c r="I62" s="34" t="str">
        <f>IF('4.담보마스터'!F61="","",'4.담보마스터'!F61)</f>
        <v/>
      </c>
      <c r="J62" s="34" t="str">
        <f t="shared" si="5"/>
        <v/>
      </c>
      <c r="K62" s="36" t="str">
        <f t="shared" si="6"/>
        <v>－</v>
      </c>
      <c r="L62" s="37" t="str">
        <f>IF('4.담보마스터'!G61="","",'4.담보마스터'!G61)</f>
        <v/>
      </c>
      <c r="M62" s="37" t="str">
        <f t="shared" si="7"/>
        <v/>
      </c>
      <c r="N62" s="3" t="str">
        <f>IF('4.담보마스터'!H61="","",'4.담보마스터'!H61)</f>
        <v>80% 이상 고도장해는 사망보험금과 동일 지급이 일반적</v>
      </c>
      <c r="O62" s="3" t="str">
        <f>IF('4.담보마스터'!I61="","",'4.담보마스터'!I61)</f>
        <v>미가입</v>
      </c>
    </row>
    <row r="63" spans="1:15">
      <c r="A63" s="12"/>
      <c r="B63" s="32" t="str">
        <f>IF('4.담보마스터'!C62="","",'4.담보마스터'!C62)</f>
        <v>후유장해</v>
      </c>
      <c r="C63" s="33" t="str">
        <f>IF('4.담보마스터'!D62="","",'4.담보마스터'!D62)</f>
        <v>장해연금</v>
      </c>
      <c r="D63" s="32" t="str">
        <f>IF('4.담보마스터'!E62="","",'4.담보마스터'!E62)</f>
        <v>만원/년</v>
      </c>
      <c r="E63" s="34">
        <f>IF($C63="","",SUMIFS('5.담보원장'!$G$5:$G$68,'5.담보원장'!$F$5:$F$68,$C63,'5.담보원장'!$B$5:$B$68,E$4))</f>
        <v>0</v>
      </c>
      <c r="F63" s="34">
        <f>IF($C63="","",SUMIFS('5.담보원장'!$G$5:$G$68,'5.담보원장'!$F$5:$F$68,$C63,'5.담보원장'!$B$5:$B$68,F$4))</f>
        <v>0</v>
      </c>
      <c r="G63" s="34">
        <f>IF($C63="","",SUMIFS('5.담보원장'!$G$5:$G$68,'5.담보원장'!$F$5:$F$68,$C63,'5.담보원장'!$B$5:$B$68,G$4))</f>
        <v>0</v>
      </c>
      <c r="H63" s="35">
        <f t="shared" si="4"/>
        <v>0</v>
      </c>
      <c r="I63" s="34" t="str">
        <f>IF('4.담보마스터'!F62="","",'4.담보마스터'!F62)</f>
        <v/>
      </c>
      <c r="J63" s="34" t="str">
        <f t="shared" si="5"/>
        <v/>
      </c>
      <c r="K63" s="36" t="str">
        <f t="shared" si="6"/>
        <v>－</v>
      </c>
      <c r="L63" s="37" t="str">
        <f>IF('4.담보마스터'!G62="","",'4.담보마스터'!G62)</f>
        <v/>
      </c>
      <c r="M63" s="37" t="str">
        <f t="shared" si="7"/>
        <v/>
      </c>
      <c r="N63" s="3" t="str">
        <f>IF('4.담보마스터'!H62="","",'4.담보마스터'!H62)</f>
        <v>연금형 장해보장은 생보 중심</v>
      </c>
      <c r="O63" s="3" t="str">
        <f>IF('4.담보마스터'!I62="","",'4.담보마스터'!I62)</f>
        <v>미가입</v>
      </c>
    </row>
    <row r="64" spans="1:15" ht="72">
      <c r="A64" s="12"/>
      <c r="B64" s="32" t="str">
        <f>IF('4.담보마스터'!C63="","",'4.담보마스터'!C63)</f>
        <v>실손</v>
      </c>
      <c r="C64" s="33" t="str">
        <f>IF('4.담보마스터'!D63="","",'4.담보마스터'!D63)</f>
        <v>질병입원의료비</v>
      </c>
      <c r="D64" s="32" t="str">
        <f>IF('4.담보마스터'!E63="","",'4.담보마스터'!E63)</f>
        <v>만원</v>
      </c>
      <c r="E64" s="34">
        <f>IF($C64="","",SUMIFS('5.담보원장'!$G$5:$G$68,'5.담보원장'!$F$5:$F$68,$C64,'5.담보원장'!$B$5:$B$68,E$4))</f>
        <v>5000</v>
      </c>
      <c r="F64" s="34">
        <f>IF($C64="","",SUMIFS('5.담보원장'!$G$5:$G$68,'5.담보원장'!$F$5:$F$68,$C64,'5.담보원장'!$B$5:$B$68,F$4))</f>
        <v>0</v>
      </c>
      <c r="G64" s="34">
        <f>IF($C64="","",SUMIFS('5.담보원장'!$G$5:$G$68,'5.담보원장'!$F$5:$F$68,$C64,'5.담보원장'!$B$5:$B$68,G$4))</f>
        <v>0</v>
      </c>
      <c r="H64" s="35">
        <f t="shared" si="4"/>
        <v>5000</v>
      </c>
      <c r="I64" s="34">
        <f>IF('4.담보마스터'!F63="","",'4.담보마스터'!F63)</f>
        <v>5000</v>
      </c>
      <c r="J64" s="34">
        <f t="shared" si="5"/>
        <v>0</v>
      </c>
      <c r="K64" s="36" t="str">
        <f t="shared" si="6"/>
        <v>충분</v>
      </c>
      <c r="L64" s="37" t="str">
        <f>IF('4.담보마스터'!G63="","",'4.담보마스터'!G63)</f>
        <v/>
      </c>
      <c r="M64" s="37" t="str">
        <f t="shared" si="7"/>
        <v/>
      </c>
      <c r="N64" s="3" t="str">
        <f>IF('4.담보마스터'!H63="","",'4.담보마스터'!H63)</f>
        <v>5세대(2026.5.6~): 급여 연 5,000만 / 중증비급여 연 5,000만 / 비중증비급여 연 1,000만. 급여 입원 자기부담 20%, 비중증 비급여 입원 자기부담 50%. 축소된 비중증 영역은 정액 수술비·질병통합치료비로 보완하는 것이 2026년 시장 흐름</v>
      </c>
      <c r="O64" s="3" t="str">
        <f>IF('4.담보마스터'!I63="","",'4.담보마스터'!I63)</f>
        <v>★계약① 2세대(표준화 이전기) 5,000만 — 자기부담 10%, 재가입 조건 없이 100세(2090년)까지 유지. 5세대 대비 압도적으로 유리하므로 유지가치 매우 높음</v>
      </c>
    </row>
    <row r="65" spans="1:15" ht="36">
      <c r="A65" s="12"/>
      <c r="B65" s="32" t="str">
        <f>IF('4.담보마스터'!C64="","",'4.담보마스터'!C64)</f>
        <v>실손</v>
      </c>
      <c r="C65" s="33" t="str">
        <f>IF('4.담보마스터'!D64="","",'4.담보마스터'!D64)</f>
        <v>질병통원의료비</v>
      </c>
      <c r="D65" s="32" t="str">
        <f>IF('4.담보마스터'!E64="","",'4.담보마스터'!E64)</f>
        <v>만원</v>
      </c>
      <c r="E65" s="34">
        <f>IF($C65="","",SUMIFS('5.담보원장'!$G$5:$G$68,'5.담보원장'!$F$5:$F$68,$C65,'5.담보원장'!$B$5:$B$68,E$4))</f>
        <v>30</v>
      </c>
      <c r="F65" s="34">
        <f>IF($C65="","",SUMIFS('5.담보원장'!$G$5:$G$68,'5.담보원장'!$F$5:$F$68,$C65,'5.담보원장'!$B$5:$B$68,F$4))</f>
        <v>0</v>
      </c>
      <c r="G65" s="34">
        <f>IF($C65="","",SUMIFS('5.담보원장'!$G$5:$G$68,'5.담보원장'!$F$5:$F$68,$C65,'5.담보원장'!$B$5:$B$68,G$4))</f>
        <v>0</v>
      </c>
      <c r="H65" s="35">
        <f t="shared" si="4"/>
        <v>30</v>
      </c>
      <c r="I65" s="34">
        <f>IF('4.담보마스터'!F64="","",'4.담보마스터'!F64)</f>
        <v>30</v>
      </c>
      <c r="J65" s="34">
        <f t="shared" si="5"/>
        <v>0</v>
      </c>
      <c r="K65" s="36" t="str">
        <f t="shared" si="6"/>
        <v>충분</v>
      </c>
      <c r="L65" s="37" t="str">
        <f>IF('4.담보마스터'!G64="","",'4.담보마스터'!G64)</f>
        <v/>
      </c>
      <c r="M65" s="37" t="str">
        <f t="shared" si="7"/>
        <v/>
      </c>
      <c r="N65" s="3" t="str">
        <f>IF('4.담보마스터'!H64="","",'4.담보마스터'!H64)</f>
        <v>5세대는 통원 1회당 20만원 한도, 급여 통원은 건강보험 본인부담률과 연동(상급종합 이용 시 부담 증가)</v>
      </c>
      <c r="O65" s="3" t="str">
        <f>IF('4.담보마스터'!I64="","",'4.담보마스터'!I64)</f>
        <v>계약① 외래의료비 25만 + 처방조제료 5만 = 30만</v>
      </c>
    </row>
    <row r="66" spans="1:15" ht="24">
      <c r="A66" s="12"/>
      <c r="B66" s="32" t="str">
        <f>IF('4.담보마스터'!C65="","",'4.담보마스터'!C65)</f>
        <v>실손</v>
      </c>
      <c r="C66" s="33" t="str">
        <f>IF('4.담보마스터'!D65="","",'4.담보마스터'!D65)</f>
        <v>상해입원의료비</v>
      </c>
      <c r="D66" s="32" t="str">
        <f>IF('4.담보마스터'!E65="","",'4.담보마스터'!E65)</f>
        <v>만원</v>
      </c>
      <c r="E66" s="34">
        <f>IF($C66="","",SUMIFS('5.담보원장'!$G$5:$G$68,'5.담보원장'!$F$5:$F$68,$C66,'5.담보원장'!$B$5:$B$68,E$4))</f>
        <v>5000</v>
      </c>
      <c r="F66" s="34">
        <f>IF($C66="","",SUMIFS('5.담보원장'!$G$5:$G$68,'5.담보원장'!$F$5:$F$68,$C66,'5.담보원장'!$B$5:$B$68,F$4))</f>
        <v>0</v>
      </c>
      <c r="G66" s="34">
        <f>IF($C66="","",SUMIFS('5.담보원장'!$G$5:$G$68,'5.담보원장'!$F$5:$F$68,$C66,'5.담보원장'!$B$5:$B$68,G$4))</f>
        <v>0</v>
      </c>
      <c r="H66" s="35">
        <f t="shared" si="4"/>
        <v>5000</v>
      </c>
      <c r="I66" s="34">
        <f>IF('4.담보마스터'!F65="","",'4.담보마스터'!F65)</f>
        <v>5000</v>
      </c>
      <c r="J66" s="34">
        <f t="shared" si="5"/>
        <v>0</v>
      </c>
      <c r="K66" s="36" t="str">
        <f t="shared" si="6"/>
        <v>충분</v>
      </c>
      <c r="L66" s="37" t="str">
        <f>IF('4.담보마스터'!G65="","",'4.담보마스터'!G65)</f>
        <v/>
      </c>
      <c r="M66" s="37" t="str">
        <f t="shared" si="7"/>
        <v/>
      </c>
      <c r="N66" s="3" t="str">
        <f>IF('4.담보마스터'!H65="","",'4.담보마스터'!H65)</f>
        <v>5세대 병의원 입원 1회당 300만원 제한 신설</v>
      </c>
      <c r="O66" s="3" t="str">
        <f>IF('4.담보마스터'!I65="","",'4.담보마스터'!I65)</f>
        <v>계약① 상해+질병 입원의료비 5,000만 (질병입원과 동일 담보)</v>
      </c>
    </row>
    <row r="67" spans="1:15" ht="24">
      <c r="A67" s="12"/>
      <c r="B67" s="32" t="str">
        <f>IF('4.담보마스터'!C66="","",'4.담보마스터'!C66)</f>
        <v>실손</v>
      </c>
      <c r="C67" s="33" t="str">
        <f>IF('4.담보마스터'!D66="","",'4.담보마스터'!D66)</f>
        <v>상해통원의료비</v>
      </c>
      <c r="D67" s="32" t="str">
        <f>IF('4.담보마스터'!E66="","",'4.담보마스터'!E66)</f>
        <v>만원</v>
      </c>
      <c r="E67" s="34">
        <f>IF($C67="","",SUMIFS('5.담보원장'!$G$5:$G$68,'5.담보원장'!$F$5:$F$68,$C67,'5.담보원장'!$B$5:$B$68,E$4))</f>
        <v>30</v>
      </c>
      <c r="F67" s="34">
        <f>IF($C67="","",SUMIFS('5.담보원장'!$G$5:$G$68,'5.담보원장'!$F$5:$F$68,$C67,'5.담보원장'!$B$5:$B$68,F$4))</f>
        <v>0</v>
      </c>
      <c r="G67" s="34">
        <f>IF($C67="","",SUMIFS('5.담보원장'!$G$5:$G$68,'5.담보원장'!$F$5:$F$68,$C67,'5.담보원장'!$B$5:$B$68,G$4))</f>
        <v>0</v>
      </c>
      <c r="H67" s="35">
        <f t="shared" si="4"/>
        <v>30</v>
      </c>
      <c r="I67" s="34">
        <f>IF('4.담보마스터'!F66="","",'4.담보마스터'!F66)</f>
        <v>30</v>
      </c>
      <c r="J67" s="34">
        <f t="shared" si="5"/>
        <v>0</v>
      </c>
      <c r="K67" s="36" t="str">
        <f t="shared" si="6"/>
        <v>충분</v>
      </c>
      <c r="L67" s="37" t="str">
        <f>IF('4.담보마스터'!G66="","",'4.담보마스터'!G66)</f>
        <v/>
      </c>
      <c r="M67" s="37" t="str">
        <f t="shared" si="7"/>
        <v/>
      </c>
      <c r="N67" s="3" t="str">
        <f>IF('4.담보마스터'!H66="","",'4.담보마스터'!H66)</f>
        <v>통원 자기부담 방식이 정액공제 → 본인부담률 연동으로 전환</v>
      </c>
      <c r="O67" s="3" t="str">
        <f>IF('4.담보마스터'!I66="","",'4.담보마스터'!I66)</f>
        <v>계약① 외래의료비 25만 + 처방조제료 5만 = 30만</v>
      </c>
    </row>
    <row r="68" spans="1:15" ht="48">
      <c r="A68" s="12"/>
      <c r="B68" s="32" t="str">
        <f>IF('4.담보마스터'!C67="","",'4.담보마스터'!C67)</f>
        <v>실손</v>
      </c>
      <c r="C68" s="33" t="str">
        <f>IF('4.담보마스터'!D67="","",'4.담보마스터'!D67)</f>
        <v>3대비급여(도수·주사·MRI)</v>
      </c>
      <c r="D68" s="32" t="str">
        <f>IF('4.담보마스터'!E67="","",'4.담보마스터'!E67)</f>
        <v>만원</v>
      </c>
      <c r="E68" s="34">
        <f>IF($C68="","",SUMIFS('5.담보원장'!$G$5:$G$68,'5.담보원장'!$F$5:$F$68,$C68,'5.담보원장'!$B$5:$B$68,E$4))</f>
        <v>0</v>
      </c>
      <c r="F68" s="34">
        <f>IF($C68="","",SUMIFS('5.담보원장'!$G$5:$G$68,'5.담보원장'!$F$5:$F$68,$C68,'5.담보원장'!$B$5:$B$68,F$4))</f>
        <v>0</v>
      </c>
      <c r="G68" s="34">
        <f>IF($C68="","",SUMIFS('5.담보원장'!$G$5:$G$68,'5.담보원장'!$F$5:$F$68,$C68,'5.담보원장'!$B$5:$B$68,G$4))</f>
        <v>0</v>
      </c>
      <c r="H68" s="35">
        <f t="shared" si="4"/>
        <v>0</v>
      </c>
      <c r="I68" s="34">
        <f>IF('4.담보마스터'!F67="","",'4.담보마스터'!F67)</f>
        <v>350</v>
      </c>
      <c r="J68" s="34">
        <f t="shared" si="5"/>
        <v>-350</v>
      </c>
      <c r="K68" s="36" t="str">
        <f t="shared" si="6"/>
        <v>미가입</v>
      </c>
      <c r="L68" s="37" t="str">
        <f>IF('4.담보마스터'!G67="","",'4.담보마스터'!G67)</f>
        <v/>
      </c>
      <c r="M68" s="37" t="str">
        <f t="shared" si="7"/>
        <v/>
      </c>
      <c r="N68" s="3" t="str">
        <f>IF('4.담보마스터'!H67="","",'4.담보마스터'!H67)</f>
        <v>3세대부터 특약 분리(자기부담 30%), 5세대는 비중증 비급여로 분류되어 자기부담 50%·연 1,000만 한도</v>
      </c>
      <c r="O68" s="3" t="str">
        <f>IF('4.담보마스터'!I67="","",'4.담보마스터'!I67)</f>
        <v>별도 특약 없음. 단 2세대는 3대비급여가 기본 보장에 포함(자기부담 10%)되어 실질 보장은 오히려 우위 — '미가입'으로 보이나 실질 공백 아님</v>
      </c>
    </row>
    <row r="69" spans="1:15" ht="36">
      <c r="A69" s="12"/>
      <c r="B69" s="32" t="str">
        <f>IF('4.담보마스터'!C68="","",'4.담보마스터'!C68)</f>
        <v>운전자</v>
      </c>
      <c r="C69" s="33" t="str">
        <f>IF('4.담보마스터'!D68="","",'4.담보마스터'!D68)</f>
        <v>벌금(대인/스쿨존/대물)</v>
      </c>
      <c r="D69" s="32" t="str">
        <f>IF('4.담보마스터'!E68="","",'4.담보마스터'!E68)</f>
        <v>만원</v>
      </c>
      <c r="E69" s="34">
        <f>IF($C69="","",SUMIFS('5.담보원장'!$G$5:$G$68,'5.담보원장'!$F$5:$F$68,$C69,'5.담보원장'!$B$5:$B$68,E$4))</f>
        <v>0</v>
      </c>
      <c r="F69" s="34">
        <f>IF($C69="","",SUMIFS('5.담보원장'!$G$5:$G$68,'5.담보원장'!$F$5:$F$68,$C69,'5.담보원장'!$B$5:$B$68,F$4))</f>
        <v>2000</v>
      </c>
      <c r="G69" s="34">
        <f>IF($C69="","",SUMIFS('5.담보원장'!$G$5:$G$68,'5.담보원장'!$F$5:$F$68,$C69,'5.담보원장'!$B$5:$B$68,G$4))</f>
        <v>0</v>
      </c>
      <c r="H69" s="35">
        <f t="shared" si="4"/>
        <v>2000</v>
      </c>
      <c r="I69" s="34">
        <f>IF('4.담보마스터'!F68="","",'4.담보마스터'!F68)</f>
        <v>3000</v>
      </c>
      <c r="J69" s="34">
        <f t="shared" si="5"/>
        <v>-1000</v>
      </c>
      <c r="K69" s="36" t="str">
        <f t="shared" si="6"/>
        <v>부족</v>
      </c>
      <c r="L69" s="37">
        <f>IF('4.담보마스터'!G68="","",'4.담보마스터'!G68)</f>
        <v>3000</v>
      </c>
      <c r="M69" s="37">
        <f t="shared" si="7"/>
        <v>-1000</v>
      </c>
      <c r="N69" s="3" t="str">
        <f>IF('4.담보마스터'!H68="","",'4.담보마스터'!H68)</f>
        <v>대인 3,000만(어린이보호구역 포함)·대물 500만이 최신 표준. 위험운전치상 벌금 700~1,500만 가능</v>
      </c>
      <c r="O69" s="3" t="str">
        <f>IF('4.담보마스터'!I68="","",'4.담보마스터'!I68)</f>
        <v>계약② 2,000만 (권장 3,000만 대비 -1,000만). 2017년 약관으로 대물벌금 미탑재</v>
      </c>
    </row>
    <row r="70" spans="1:15" ht="36">
      <c r="A70" s="12"/>
      <c r="B70" s="32" t="str">
        <f>IF('4.담보마스터'!C69="","",'4.담보마스터'!C69)</f>
        <v>운전자</v>
      </c>
      <c r="C70" s="33" t="str">
        <f>IF('4.담보마스터'!D69="","",'4.담보마스터'!D69)</f>
        <v>교통사고처리지원금</v>
      </c>
      <c r="D70" s="32" t="str">
        <f>IF('4.담보마스터'!E69="","",'4.담보마스터'!E69)</f>
        <v>만원</v>
      </c>
      <c r="E70" s="34">
        <f>IF($C70="","",SUMIFS('5.담보원장'!$G$5:$G$68,'5.담보원장'!$F$5:$F$68,$C70,'5.담보원장'!$B$5:$B$68,E$4))</f>
        <v>0</v>
      </c>
      <c r="F70" s="34">
        <f>IF($C70="","",SUMIFS('5.담보원장'!$G$5:$G$68,'5.담보원장'!$F$5:$F$68,$C70,'5.담보원장'!$B$5:$B$68,F$4))</f>
        <v>3000</v>
      </c>
      <c r="G70" s="34">
        <f>IF($C70="","",SUMIFS('5.담보원장'!$G$5:$G$68,'5.담보원장'!$F$5:$F$68,$C70,'5.담보원장'!$B$5:$B$68,G$4))</f>
        <v>0</v>
      </c>
      <c r="H70" s="35">
        <f t="shared" ref="H70:H100" si="8">IF($C70="","",SUM(E70:G70))</f>
        <v>3000</v>
      </c>
      <c r="I70" s="34">
        <f>IF('4.담보마스터'!F69="","",'4.담보마스터'!F69)</f>
        <v>20000</v>
      </c>
      <c r="J70" s="34">
        <f t="shared" ref="J70:J100" si="9">IF(OR($C70="",$I70=""),"",$H70-$I70)</f>
        <v>-17000</v>
      </c>
      <c r="K70" s="36" t="str">
        <f t="shared" ref="K70:K100" si="10">IF($C70="","",IF($I70="","－",IF($H70=0,"미가입",IF($H70&gt;=$I70,"충분","부족"))))</f>
        <v>부족</v>
      </c>
      <c r="L70" s="37">
        <f>IF('4.담보마스터'!G69="","",'4.담보마스터'!G69)</f>
        <v>20000</v>
      </c>
      <c r="M70" s="37">
        <f t="shared" ref="M70:M100" si="11">IF(OR($C70="",$L70=""),"",$H70-$L70)</f>
        <v>-17000</v>
      </c>
      <c r="N70" s="3" t="str">
        <f>IF('4.담보마스터'!H69="","",'4.담보마스터'!H69)</f>
        <v>★2억~2.5억 권장. 2025년 개정으로 어린이집·유치원·초등학교 시설 내 어린이 사고가 12대 중과실에 추가</v>
      </c>
      <c r="O70" s="3" t="str">
        <f>IF('4.담보마스터'!I69="","",'4.담보마스터'!I69)</f>
        <v>★계약② 3,000만 (권장 2억 대비 -1억 7,000만) — 운전자보험 최대 공백</v>
      </c>
    </row>
    <row r="71" spans="1:15" ht="36">
      <c r="A71" s="12"/>
      <c r="B71" s="32" t="str">
        <f>IF('4.담보마스터'!C70="","",'4.담보마스터'!C70)</f>
        <v>운전자</v>
      </c>
      <c r="C71" s="33" t="str">
        <f>IF('4.담보마스터'!D70="","",'4.담보마스터'!D70)</f>
        <v>변호사선임비용</v>
      </c>
      <c r="D71" s="32" t="str">
        <f>IF('4.담보마스터'!E70="","",'4.담보마스터'!E70)</f>
        <v>만원</v>
      </c>
      <c r="E71" s="34">
        <f>IF($C71="","",SUMIFS('5.담보원장'!$G$5:$G$68,'5.담보원장'!$F$5:$F$68,$C71,'5.담보원장'!$B$5:$B$68,E$4))</f>
        <v>0</v>
      </c>
      <c r="F71" s="34">
        <f>IF($C71="","",SUMIFS('5.담보원장'!$G$5:$G$68,'5.담보원장'!$F$5:$F$68,$C71,'5.담보원장'!$B$5:$B$68,F$4))</f>
        <v>500</v>
      </c>
      <c r="G71" s="34">
        <f>IF($C71="","",SUMIFS('5.담보원장'!$G$5:$G$68,'5.담보원장'!$F$5:$F$68,$C71,'5.담보원장'!$B$5:$B$68,G$4))</f>
        <v>0</v>
      </c>
      <c r="H71" s="35">
        <f t="shared" si="8"/>
        <v>500</v>
      </c>
      <c r="I71" s="34">
        <f>IF('4.담보마스터'!F70="","",'4.담보마스터'!F70)</f>
        <v>5000</v>
      </c>
      <c r="J71" s="34">
        <f t="shared" si="9"/>
        <v>-4500</v>
      </c>
      <c r="K71" s="36" t="str">
        <f t="shared" si="10"/>
        <v>부족</v>
      </c>
      <c r="L71" s="37">
        <f>IF('4.담보마스터'!G70="","",'4.담보마스터'!G70)</f>
        <v>1500</v>
      </c>
      <c r="M71" s="37">
        <f t="shared" si="11"/>
        <v>-1000</v>
      </c>
      <c r="N71" s="3" t="str">
        <f>IF('4.담보마스터'!H70="","",'4.담보마스터'!H70)</f>
        <v>★2026년 개정: 심급별 최대 500만·총 1,500만 + 자기부담금 50% 신설(신규 가입분)</v>
      </c>
      <c r="O71" s="3" t="str">
        <f>IF('4.담보마스터'!I70="","",'4.담보마스터'!I70)</f>
        <v>계약② 500만. 2017년 약관이라 자기부담금 없는 유리한 조건이나 절대 한도가 부족</v>
      </c>
    </row>
    <row r="72" spans="1:15" ht="24">
      <c r="A72" s="12"/>
      <c r="B72" s="32" t="str">
        <f>IF('4.담보마스터'!C71="","",'4.담보마스터'!C71)</f>
        <v>운전자</v>
      </c>
      <c r="C72" s="33" t="str">
        <f>IF('4.담보마스터'!D71="","",'4.담보마스터'!D71)</f>
        <v>자동차사고부상치료비</v>
      </c>
      <c r="D72" s="32" t="str">
        <f>IF('4.담보마스터'!E71="","",'4.담보마스터'!E71)</f>
        <v>만원</v>
      </c>
      <c r="E72" s="34">
        <f>IF($C72="","",SUMIFS('5.담보원장'!$G$5:$G$68,'5.담보원장'!$F$5:$F$68,$C72,'5.담보원장'!$B$5:$B$68,E$4))</f>
        <v>10</v>
      </c>
      <c r="F72" s="34">
        <f>IF($C72="","",SUMIFS('5.담보원장'!$G$5:$G$68,'5.담보원장'!$F$5:$F$68,$C72,'5.담보원장'!$B$5:$B$68,F$4))</f>
        <v>20</v>
      </c>
      <c r="G72" s="34">
        <f>IF($C72="","",SUMIFS('5.담보원장'!$G$5:$G$68,'5.담보원장'!$F$5:$F$68,$C72,'5.담보원장'!$B$5:$B$68,G$4))</f>
        <v>0</v>
      </c>
      <c r="H72" s="35">
        <f t="shared" si="8"/>
        <v>30</v>
      </c>
      <c r="I72" s="34">
        <f>IF('4.담보마스터'!F71="","",'4.담보마스터'!F71)</f>
        <v>30</v>
      </c>
      <c r="J72" s="34">
        <f t="shared" si="9"/>
        <v>0</v>
      </c>
      <c r="K72" s="36" t="str">
        <f t="shared" si="10"/>
        <v>충분</v>
      </c>
      <c r="L72" s="37" t="str">
        <f>IF('4.담보마스터'!G71="","",'4.담보마스터'!G71)</f>
        <v/>
      </c>
      <c r="M72" s="37" t="str">
        <f t="shared" si="11"/>
        <v/>
      </c>
      <c r="N72" s="3" t="str">
        <f>IF('4.담보마스터'!H71="","",'4.담보마스터'!H71)</f>
        <v>부상등급 1~14급 차등, 14급(단순 타박)도 약 30만원 지급형 확산</v>
      </c>
      <c r="O72" s="3" t="str">
        <f>IF('4.담보마스터'!I71="","",'4.담보마스터'!I71)</f>
        <v>계약① 10만(비운전자) + 계약② 20만(운전자) = 30만 — 충분</v>
      </c>
    </row>
    <row r="73" spans="1:15">
      <c r="A73" s="12"/>
      <c r="B73" s="32" t="str">
        <f>IF('4.담보마스터'!C72="","",'4.담보마스터'!C72)</f>
        <v>운전자</v>
      </c>
      <c r="C73" s="33" t="str">
        <f>IF('4.담보마스터'!D72="","",'4.담보마스터'!D72)</f>
        <v>중증자동차사고부상</v>
      </c>
      <c r="D73" s="32" t="str">
        <f>IF('4.담보마스터'!E72="","",'4.담보마스터'!E72)</f>
        <v>만원</v>
      </c>
      <c r="E73" s="34">
        <f>IF($C73="","",SUMIFS('5.담보원장'!$G$5:$G$68,'5.담보원장'!$F$5:$F$68,$C73,'5.담보원장'!$B$5:$B$68,E$4))</f>
        <v>0</v>
      </c>
      <c r="F73" s="34">
        <f>IF($C73="","",SUMIFS('5.담보원장'!$G$5:$G$68,'5.담보원장'!$F$5:$F$68,$C73,'5.담보원장'!$B$5:$B$68,F$4))</f>
        <v>1000</v>
      </c>
      <c r="G73" s="34">
        <f>IF($C73="","",SUMIFS('5.담보원장'!$G$5:$G$68,'5.담보원장'!$F$5:$F$68,$C73,'5.담보원장'!$B$5:$B$68,G$4))</f>
        <v>0</v>
      </c>
      <c r="H73" s="35">
        <f t="shared" si="8"/>
        <v>1000</v>
      </c>
      <c r="I73" s="34" t="str">
        <f>IF('4.담보마스터'!F72="","",'4.담보마스터'!F72)</f>
        <v/>
      </c>
      <c r="J73" s="34" t="str">
        <f t="shared" si="9"/>
        <v/>
      </c>
      <c r="K73" s="36" t="str">
        <f t="shared" si="10"/>
        <v>－</v>
      </c>
      <c r="L73" s="37" t="str">
        <f>IF('4.담보마스터'!G72="","",'4.담보마스터'!G72)</f>
        <v/>
      </c>
      <c r="M73" s="37" t="str">
        <f t="shared" si="11"/>
        <v/>
      </c>
      <c r="N73" s="3" t="str">
        <f>IF('4.담보마스터'!H72="","",'4.담보마스터'!H72)</f>
        <v>중상해(1~3급) 고액 보장 담보 확대</v>
      </c>
      <c r="O73" s="3" t="str">
        <f>IF('4.담보마스터'!I72="","",'4.담보마스터'!I72)</f>
        <v>계약② 1,000만</v>
      </c>
    </row>
    <row r="74" spans="1:15">
      <c r="A74" s="12"/>
      <c r="B74" s="32" t="str">
        <f>IF('4.담보마스터'!C73="","",'4.담보마스터'!C73)</f>
        <v>운전자</v>
      </c>
      <c r="C74" s="33" t="str">
        <f>IF('4.담보마스터'!D73="","",'4.담보마스터'!D73)</f>
        <v>교통상해입원일당</v>
      </c>
      <c r="D74" s="32" t="str">
        <f>IF('4.담보마스터'!E73="","",'4.담보마스터'!E73)</f>
        <v>만원/일</v>
      </c>
      <c r="E74" s="34">
        <f>IF($C74="","",SUMIFS('5.담보원장'!$G$5:$G$68,'5.담보원장'!$F$5:$F$68,$C74,'5.담보원장'!$B$5:$B$68,E$4))</f>
        <v>0</v>
      </c>
      <c r="F74" s="34">
        <f>IF($C74="","",SUMIFS('5.담보원장'!$G$5:$G$68,'5.담보원장'!$F$5:$F$68,$C74,'5.담보원장'!$B$5:$B$68,F$4))</f>
        <v>1</v>
      </c>
      <c r="G74" s="34">
        <f>IF($C74="","",SUMIFS('5.담보원장'!$G$5:$G$68,'5.담보원장'!$F$5:$F$68,$C74,'5.담보원장'!$B$5:$B$68,G$4))</f>
        <v>0</v>
      </c>
      <c r="H74" s="35">
        <f t="shared" si="8"/>
        <v>1</v>
      </c>
      <c r="I74" s="34" t="str">
        <f>IF('4.담보마스터'!F73="","",'4.담보마스터'!F73)</f>
        <v/>
      </c>
      <c r="J74" s="34" t="str">
        <f t="shared" si="9"/>
        <v/>
      </c>
      <c r="K74" s="36" t="str">
        <f t="shared" si="10"/>
        <v>－</v>
      </c>
      <c r="L74" s="37" t="str">
        <f>IF('4.담보마스터'!G73="","",'4.담보마스터'!G73)</f>
        <v/>
      </c>
      <c r="M74" s="37" t="str">
        <f t="shared" si="11"/>
        <v/>
      </c>
      <c r="N74" s="3" t="str">
        <f>IF('4.담보마스터'!H73="","",'4.담보마스터'!H73)</f>
        <v>자동차 운전 중 상해 입원 1~180일 한정형</v>
      </c>
      <c r="O74" s="3" t="str">
        <f>IF('4.담보마스터'!I73="","",'4.담보마스터'!I73)</f>
        <v>계약② 1만</v>
      </c>
    </row>
    <row r="75" spans="1:15">
      <c r="A75" s="12"/>
      <c r="B75" s="32" t="str">
        <f>IF('4.담보마스터'!C74="","",'4.담보마스터'!C74)</f>
        <v>운전자</v>
      </c>
      <c r="C75" s="33" t="str">
        <f>IF('4.담보마스터'!D74="","",'4.담보마스터'!D74)</f>
        <v>과실치사상 벌금</v>
      </c>
      <c r="D75" s="32" t="str">
        <f>IF('4.담보마스터'!E74="","",'4.담보마스터'!E74)</f>
        <v>만원</v>
      </c>
      <c r="E75" s="34">
        <f>IF($C75="","",SUMIFS('5.담보원장'!$G$5:$G$68,'5.담보원장'!$F$5:$F$68,$C75,'5.담보원장'!$B$5:$B$68,E$4))</f>
        <v>0</v>
      </c>
      <c r="F75" s="34">
        <f>IF($C75="","",SUMIFS('5.담보원장'!$G$5:$G$68,'5.담보원장'!$F$5:$F$68,$C75,'5.담보원장'!$B$5:$B$68,F$4))</f>
        <v>700</v>
      </c>
      <c r="G75" s="34">
        <f>IF($C75="","",SUMIFS('5.담보원장'!$G$5:$G$68,'5.담보원장'!$F$5:$F$68,$C75,'5.담보원장'!$B$5:$B$68,G$4))</f>
        <v>0</v>
      </c>
      <c r="H75" s="35">
        <f t="shared" si="8"/>
        <v>700</v>
      </c>
      <c r="I75" s="34" t="str">
        <f>IF('4.담보마스터'!F74="","",'4.담보마스터'!F74)</f>
        <v/>
      </c>
      <c r="J75" s="34" t="str">
        <f t="shared" si="9"/>
        <v/>
      </c>
      <c r="K75" s="36" t="str">
        <f t="shared" si="10"/>
        <v>－</v>
      </c>
      <c r="L75" s="37" t="str">
        <f>IF('4.담보마스터'!G74="","",'4.담보마스터'!G74)</f>
        <v/>
      </c>
      <c r="M75" s="37" t="str">
        <f t="shared" si="11"/>
        <v/>
      </c>
      <c r="N75" s="3" t="str">
        <f>IF('4.담보마스터'!H74="","",'4.담보마스터'!H74)</f>
        <v>일반 과실치사상 벌금 담보</v>
      </c>
      <c r="O75" s="3" t="str">
        <f>IF('4.담보마스터'!I74="","",'4.담보마스터'!I74)</f>
        <v>계약② 700만</v>
      </c>
    </row>
    <row r="76" spans="1:15" ht="36">
      <c r="A76" s="12"/>
      <c r="B76" s="32" t="str">
        <f>IF('4.담보마스터'!C75="","",'4.담보마스터'!C75)</f>
        <v>운전자</v>
      </c>
      <c r="C76" s="33" t="str">
        <f>IF('4.담보마스터'!D75="","",'4.담보마스터'!D75)</f>
        <v>보철치료비</v>
      </c>
      <c r="D76" s="32" t="str">
        <f>IF('4.담보마스터'!E75="","",'4.담보마스터'!E75)</f>
        <v>만원</v>
      </c>
      <c r="E76" s="34">
        <f>IF($C76="","",SUMIFS('5.담보원장'!$G$5:$G$68,'5.담보원장'!$F$5:$F$68,$C76,'5.담보원장'!$B$5:$B$68,E$4))</f>
        <v>0</v>
      </c>
      <c r="F76" s="34">
        <f>IF($C76="","",SUMIFS('5.담보원장'!$G$5:$G$68,'5.담보원장'!$F$5:$F$68,$C76,'5.담보원장'!$B$5:$B$68,F$4))</f>
        <v>5</v>
      </c>
      <c r="G76" s="34">
        <f>IF($C76="","",SUMIFS('5.담보원장'!$G$5:$G$68,'5.담보원장'!$F$5:$F$68,$C76,'5.담보원장'!$B$5:$B$68,G$4))</f>
        <v>200</v>
      </c>
      <c r="H76" s="35">
        <f t="shared" si="8"/>
        <v>205</v>
      </c>
      <c r="I76" s="34">
        <f>IF('4.담보마스터'!F75="","",'4.담보마스터'!F75)</f>
        <v>200</v>
      </c>
      <c r="J76" s="34">
        <f t="shared" si="9"/>
        <v>5</v>
      </c>
      <c r="K76" s="36" t="str">
        <f t="shared" si="10"/>
        <v>충분</v>
      </c>
      <c r="L76" s="37" t="str">
        <f>IF('4.담보마스터'!G75="","",'4.담보마스터'!G75)</f>
        <v/>
      </c>
      <c r="M76" s="37" t="str">
        <f t="shared" si="11"/>
        <v/>
      </c>
      <c r="N76" s="3" t="str">
        <f>IF('4.담보마스터'!H75="","",'4.담보마스터'!H75)</f>
        <v>자동차사고 치아보철(영구치) 보장. 치아보험과 별개</v>
      </c>
      <c r="O76" s="3" t="str">
        <f>IF('4.담보마스터'!I75="","",'4.담보마스터'!I75)</f>
        <v>계약② 5만 + 계약③ 200만 = 205만 — 충분. 단 계약③은 2034.10 만기 후 소멸(→ 5만만 잔존)</v>
      </c>
    </row>
    <row r="77" spans="1:15" ht="24">
      <c r="A77" s="12"/>
      <c r="B77" s="32" t="str">
        <f>IF('4.담보마스터'!C76="","",'4.담보마스터'!C76)</f>
        <v>배상</v>
      </c>
      <c r="C77" s="33" t="str">
        <f>IF('4.담보마스터'!D76="","",'4.담보마스터'!D76)</f>
        <v>가족/일상/자녀 배상책임</v>
      </c>
      <c r="D77" s="32" t="str">
        <f>IF('4.담보마스터'!E76="","",'4.담보마스터'!E76)</f>
        <v>만원</v>
      </c>
      <c r="E77" s="34">
        <f>IF($C77="","",SUMIFS('5.담보원장'!$G$5:$G$68,'5.담보원장'!$F$5:$F$68,$C77,'5.담보원장'!$B$5:$B$68,E$4))</f>
        <v>10000</v>
      </c>
      <c r="F77" s="34">
        <f>IF($C77="","",SUMIFS('5.담보원장'!$G$5:$G$68,'5.담보원장'!$F$5:$F$68,$C77,'5.담보원장'!$B$5:$B$68,F$4))</f>
        <v>0</v>
      </c>
      <c r="G77" s="34">
        <f>IF($C77="","",SUMIFS('5.담보원장'!$G$5:$G$68,'5.담보원장'!$F$5:$F$68,$C77,'5.담보원장'!$B$5:$B$68,G$4))</f>
        <v>0</v>
      </c>
      <c r="H77" s="35">
        <f t="shared" si="8"/>
        <v>10000</v>
      </c>
      <c r="I77" s="34">
        <f>IF('4.담보마스터'!F76="","",'4.담보마스터'!F76)</f>
        <v>10000</v>
      </c>
      <c r="J77" s="34">
        <f t="shared" si="9"/>
        <v>0</v>
      </c>
      <c r="K77" s="36" t="str">
        <f t="shared" si="10"/>
        <v>충분</v>
      </c>
      <c r="L77" s="37" t="str">
        <f>IF('4.담보마스터'!G76="","",'4.담보마스터'!G76)</f>
        <v/>
      </c>
      <c r="M77" s="37" t="str">
        <f t="shared" si="11"/>
        <v/>
      </c>
      <c r="N77" s="3" t="str">
        <f>IF('4.담보마스터'!H76="","",'4.담보마스터'!H76)</f>
        <v>1억 한도 표준, 자기부담금 2만원. 자전거·반려동물 사고 포함</v>
      </c>
      <c r="O77" s="3" t="str">
        <f>IF('4.담보마스터'!I76="","",'4.담보마스터'!I76)</f>
        <v>계약① 1억 — 충분</v>
      </c>
    </row>
    <row r="78" spans="1:15">
      <c r="A78" s="12"/>
      <c r="B78" s="32" t="str">
        <f>IF('4.담보마스터'!C77="","",'4.담보마스터'!C77)</f>
        <v>배상</v>
      </c>
      <c r="C78" s="33" t="str">
        <f>IF('4.담보마스터'!D77="","",'4.담보마스터'!D77)</f>
        <v>화재벌금</v>
      </c>
      <c r="D78" s="32" t="str">
        <f>IF('4.담보마스터'!E77="","",'4.담보마스터'!E77)</f>
        <v>만원</v>
      </c>
      <c r="E78" s="34">
        <f>IF($C78="","",SUMIFS('5.담보원장'!$G$5:$G$68,'5.담보원장'!$F$5:$F$68,$C78,'5.담보원장'!$B$5:$B$68,E$4))</f>
        <v>0</v>
      </c>
      <c r="F78" s="34">
        <f>IF($C78="","",SUMIFS('5.담보원장'!$G$5:$G$68,'5.담보원장'!$F$5:$F$68,$C78,'5.담보원장'!$B$5:$B$68,F$4))</f>
        <v>2000</v>
      </c>
      <c r="G78" s="34">
        <f>IF($C78="","",SUMIFS('5.담보원장'!$G$5:$G$68,'5.담보원장'!$F$5:$F$68,$C78,'5.담보원장'!$B$5:$B$68,G$4))</f>
        <v>0</v>
      </c>
      <c r="H78" s="35">
        <f t="shared" si="8"/>
        <v>2000</v>
      </c>
      <c r="I78" s="34">
        <f>IF('4.담보마스터'!F77="","",'4.담보마스터'!F77)</f>
        <v>2000</v>
      </c>
      <c r="J78" s="34">
        <f t="shared" si="9"/>
        <v>0</v>
      </c>
      <c r="K78" s="36" t="str">
        <f t="shared" si="10"/>
        <v>충분</v>
      </c>
      <c r="L78" s="37" t="str">
        <f>IF('4.담보마스터'!G77="","",'4.담보마스터'!G77)</f>
        <v/>
      </c>
      <c r="M78" s="37" t="str">
        <f t="shared" si="11"/>
        <v/>
      </c>
      <c r="N78" s="3" t="str">
        <f>IF('4.담보마스터'!H77="","",'4.담보마스터'!H77)</f>
        <v>실화·중과실 화재 벌금 2,000만 표준</v>
      </c>
      <c r="O78" s="3" t="str">
        <f>IF('4.담보마스터'!I77="","",'4.담보마스터'!I77)</f>
        <v>계약② 2,000만 — 충분</v>
      </c>
    </row>
    <row r="79" spans="1:15" ht="24">
      <c r="A79" s="12"/>
      <c r="B79" s="32" t="str">
        <f>IF('4.담보마스터'!C78="","",'4.담보마스터'!C78)</f>
        <v>치아</v>
      </c>
      <c r="C79" s="33" t="str">
        <f>IF('4.담보마스터'!D78="","",'4.담보마스터'!D78)</f>
        <v>치아보존치료(충전·인레이 등)</v>
      </c>
      <c r="D79" s="32" t="str">
        <f>IF('4.담보마스터'!E78="","",'4.담보마스터'!E78)</f>
        <v>만원</v>
      </c>
      <c r="E79" s="34">
        <f>IF($C79="","",SUMIFS('5.담보원장'!$G$5:$G$68,'5.담보원장'!$F$5:$F$68,$C79,'5.담보원장'!$B$5:$B$68,E$4))</f>
        <v>0</v>
      </c>
      <c r="F79" s="34">
        <f>IF($C79="","",SUMIFS('5.담보원장'!$G$5:$G$68,'5.담보원장'!$F$5:$F$68,$C79,'5.담보원장'!$B$5:$B$68,F$4))</f>
        <v>0</v>
      </c>
      <c r="G79" s="34">
        <f>IF($C79="","",SUMIFS('5.담보원장'!$G$5:$G$68,'5.담보원장'!$F$5:$F$68,$C79,'5.담보원장'!$B$5:$B$68,G$4))</f>
        <v>40</v>
      </c>
      <c r="H79" s="35">
        <f t="shared" si="8"/>
        <v>40</v>
      </c>
      <c r="I79" s="34" t="str">
        <f>IF('4.담보마스터'!F78="","",'4.담보마스터'!F78)</f>
        <v/>
      </c>
      <c r="J79" s="34" t="str">
        <f t="shared" si="9"/>
        <v/>
      </c>
      <c r="K79" s="36" t="str">
        <f t="shared" si="10"/>
        <v>－</v>
      </c>
      <c r="L79" s="37" t="str">
        <f>IF('4.담보마스터'!G78="","",'4.담보마스터'!G78)</f>
        <v/>
      </c>
      <c r="M79" s="37" t="str">
        <f t="shared" si="11"/>
        <v/>
      </c>
      <c r="N79" s="3" t="str">
        <f>IF('4.담보마스터'!H78="","",'4.담보마스터'!H78)</f>
        <v>갱신형 치아보험은 통상 만기가 짧고 면책·감액기간(90일/50%) 존재</v>
      </c>
      <c r="O79" s="3" t="str">
        <f>IF('4.담보마스터'!I78="","",'4.담보마스터'!I78)</f>
        <v>계약③ 40만. 2034-10-01(44세) 만기 후 보장 종료</v>
      </c>
    </row>
    <row r="80" spans="1:15" ht="36">
      <c r="A80" s="12"/>
      <c r="B80" s="32" t="str">
        <f>IF('4.담보마스터'!C79="","",'4.담보마스터'!C79)</f>
        <v>치아</v>
      </c>
      <c r="C80" s="33" t="str">
        <f>IF('4.담보마스터'!D79="","",'4.담보마스터'!D79)</f>
        <v>기타 치과치료비</v>
      </c>
      <c r="D80" s="32" t="str">
        <f>IF('4.담보마스터'!E79="","",'4.담보마스터'!E79)</f>
        <v>만원</v>
      </c>
      <c r="E80" s="34">
        <f>IF($C80="","",SUMIFS('5.담보원장'!$G$5:$G$68,'5.담보원장'!$F$5:$F$68,$C80,'5.담보원장'!$B$5:$B$68,E$4))</f>
        <v>0</v>
      </c>
      <c r="F80" s="34">
        <f>IF($C80="","",SUMIFS('5.담보원장'!$G$5:$G$68,'5.담보원장'!$F$5:$F$68,$C80,'5.담보원장'!$B$5:$B$68,F$4))</f>
        <v>0</v>
      </c>
      <c r="G80" s="34">
        <f>IF($C80="","",SUMIFS('5.담보원장'!$G$5:$G$68,'5.담보원장'!$F$5:$F$68,$C80,'5.담보원장'!$B$5:$B$68,G$4))</f>
        <v>18</v>
      </c>
      <c r="H80" s="35">
        <f t="shared" si="8"/>
        <v>18</v>
      </c>
      <c r="I80" s="34" t="str">
        <f>IF('4.담보마스터'!F79="","",'4.담보마스터'!F79)</f>
        <v/>
      </c>
      <c r="J80" s="34" t="str">
        <f t="shared" si="9"/>
        <v/>
      </c>
      <c r="K80" s="36" t="str">
        <f t="shared" si="10"/>
        <v>－</v>
      </c>
      <c r="L80" s="37" t="str">
        <f>IF('4.담보마스터'!G79="","",'4.담보마스터'!G79)</f>
        <v/>
      </c>
      <c r="M80" s="37" t="str">
        <f t="shared" si="11"/>
        <v/>
      </c>
      <c r="N80" s="3" t="str">
        <f>IF('4.담보마스터'!H79="","",'4.담보마스터'!H79)</f>
        <v>치주치료·스케일링·발치 등 소액 다빈도 보장</v>
      </c>
      <c r="O80" s="3" t="str">
        <f>IF('4.담보마스터'!I79="","",'4.담보마스터'!I79)</f>
        <v>계약③ 주요치주질환 3만 / 영구치발치 10만 / 스케일링 1만 / 치수치료 3만 / 치아촬영 1만 (건별 지급)</v>
      </c>
    </row>
    <row r="81" spans="1:15">
      <c r="A81" s="12"/>
      <c r="B81" s="32" t="str">
        <f>IF('4.담보마스터'!C80="","",'4.담보마스터'!C80)</f>
        <v>(추가)</v>
      </c>
      <c r="C81" s="33" t="str">
        <f>IF('4.담보마스터'!D80="","",'4.담보마스터'!D80)</f>
        <v>여기부터 담보를 추가하세요</v>
      </c>
      <c r="D81" s="32" t="str">
        <f>IF('4.담보마스터'!E80="","",'4.담보마스터'!E80)</f>
        <v>만원</v>
      </c>
      <c r="E81" s="34">
        <f>IF($C81="","",SUMIFS('5.담보원장'!$G$5:$G$68,'5.담보원장'!$F$5:$F$68,$C81,'5.담보원장'!$B$5:$B$68,E$4))</f>
        <v>0</v>
      </c>
      <c r="F81" s="34">
        <f>IF($C81="","",SUMIFS('5.담보원장'!$G$5:$G$68,'5.담보원장'!$F$5:$F$68,$C81,'5.담보원장'!$B$5:$B$68,F$4))</f>
        <v>0</v>
      </c>
      <c r="G81" s="34">
        <f>IF($C81="","",SUMIFS('5.담보원장'!$G$5:$G$68,'5.담보원장'!$F$5:$F$68,$C81,'5.담보원장'!$B$5:$B$68,G$4))</f>
        <v>0</v>
      </c>
      <c r="H81" s="35">
        <f t="shared" si="8"/>
        <v>0</v>
      </c>
      <c r="I81" s="34" t="str">
        <f>IF('4.담보마스터'!F80="","",'4.담보마스터'!F80)</f>
        <v/>
      </c>
      <c r="J81" s="34" t="str">
        <f t="shared" si="9"/>
        <v/>
      </c>
      <c r="K81" s="36" t="str">
        <f t="shared" si="10"/>
        <v>－</v>
      </c>
      <c r="L81" s="37" t="str">
        <f>IF('4.담보마스터'!G80="","",'4.담보마스터'!G80)</f>
        <v/>
      </c>
      <c r="M81" s="37" t="str">
        <f t="shared" si="11"/>
        <v/>
      </c>
      <c r="N81" s="3" t="str">
        <f>IF('4.담보마스터'!H80="","",'4.담보마스터'!H80)</f>
        <v/>
      </c>
      <c r="O81" s="3" t="str">
        <f>IF('4.담보마스터'!I80="","",'4.담보마스터'!I80)</f>
        <v/>
      </c>
    </row>
    <row r="82" spans="1:15">
      <c r="A82" s="12"/>
      <c r="B82" s="32" t="e">
        <f>IF('4.담보마스터'!#REF!="","",'4.담보마스터'!#REF!)</f>
        <v>#REF!</v>
      </c>
      <c r="C82" s="33" t="e">
        <f>IF('4.담보마스터'!#REF!="","",'4.담보마스터'!#REF!)</f>
        <v>#REF!</v>
      </c>
      <c r="D82" s="32" t="e">
        <f>IF('4.담보마스터'!#REF!="","",'4.담보마스터'!#REF!)</f>
        <v>#REF!</v>
      </c>
      <c r="E82" s="34" t="e">
        <f>IF($C82="","",SUMIFS('5.담보원장'!$G$5:$G$68,'5.담보원장'!$F$5:$F$68,$C82,'5.담보원장'!$B$5:$B$68,E$4))</f>
        <v>#REF!</v>
      </c>
      <c r="F82" s="34" t="e">
        <f>IF($C82="","",SUMIFS('5.담보원장'!$G$5:$G$68,'5.담보원장'!$F$5:$F$68,$C82,'5.담보원장'!$B$5:$B$68,F$4))</f>
        <v>#REF!</v>
      </c>
      <c r="G82" s="34" t="e">
        <f>IF($C82="","",SUMIFS('5.담보원장'!$G$5:$G$68,'5.담보원장'!$F$5:$F$68,$C82,'5.담보원장'!$B$5:$B$68,G$4))</f>
        <v>#REF!</v>
      </c>
      <c r="H82" s="35" t="e">
        <f t="shared" si="8"/>
        <v>#REF!</v>
      </c>
      <c r="I82" s="34" t="e">
        <f>IF('4.담보마스터'!#REF!="","",'4.담보마스터'!#REF!)</f>
        <v>#REF!</v>
      </c>
      <c r="J82" s="34" t="e">
        <f t="shared" si="9"/>
        <v>#REF!</v>
      </c>
      <c r="K82" s="36" t="e">
        <f t="shared" si="10"/>
        <v>#REF!</v>
      </c>
      <c r="L82" s="37" t="e">
        <f>IF('4.담보마스터'!#REF!="","",'4.담보마스터'!#REF!)</f>
        <v>#REF!</v>
      </c>
      <c r="M82" s="37" t="e">
        <f t="shared" si="11"/>
        <v>#REF!</v>
      </c>
      <c r="N82" s="3" t="e">
        <f>IF('4.담보마스터'!#REF!="","",'4.담보마스터'!#REF!)</f>
        <v>#REF!</v>
      </c>
      <c r="O82" s="3" t="e">
        <f>IF('4.담보마스터'!#REF!="","",'4.담보마스터'!#REF!)</f>
        <v>#REF!</v>
      </c>
    </row>
    <row r="83" spans="1:15">
      <c r="A83" s="12"/>
      <c r="B83" s="32" t="e">
        <f>IF('4.담보마스터'!#REF!="","",'4.담보마스터'!#REF!)</f>
        <v>#REF!</v>
      </c>
      <c r="C83" s="33" t="e">
        <f>IF('4.담보마스터'!#REF!="","",'4.담보마스터'!#REF!)</f>
        <v>#REF!</v>
      </c>
      <c r="D83" s="32" t="e">
        <f>IF('4.담보마스터'!#REF!="","",'4.담보마스터'!#REF!)</f>
        <v>#REF!</v>
      </c>
      <c r="E83" s="34" t="e">
        <f>IF($C83="","",SUMIFS('5.담보원장'!$G$5:$G$68,'5.담보원장'!$F$5:$F$68,$C83,'5.담보원장'!$B$5:$B$68,E$4))</f>
        <v>#REF!</v>
      </c>
      <c r="F83" s="34" t="e">
        <f>IF($C83="","",SUMIFS('5.담보원장'!$G$5:$G$68,'5.담보원장'!$F$5:$F$68,$C83,'5.담보원장'!$B$5:$B$68,F$4))</f>
        <v>#REF!</v>
      </c>
      <c r="G83" s="34" t="e">
        <f>IF($C83="","",SUMIFS('5.담보원장'!$G$5:$G$68,'5.담보원장'!$F$5:$F$68,$C83,'5.담보원장'!$B$5:$B$68,G$4))</f>
        <v>#REF!</v>
      </c>
      <c r="H83" s="35" t="e">
        <f t="shared" si="8"/>
        <v>#REF!</v>
      </c>
      <c r="I83" s="34" t="e">
        <f>IF('4.담보마스터'!#REF!="","",'4.담보마스터'!#REF!)</f>
        <v>#REF!</v>
      </c>
      <c r="J83" s="34" t="e">
        <f t="shared" si="9"/>
        <v>#REF!</v>
      </c>
      <c r="K83" s="36" t="e">
        <f t="shared" si="10"/>
        <v>#REF!</v>
      </c>
      <c r="L83" s="37" t="e">
        <f>IF('4.담보마스터'!#REF!="","",'4.담보마스터'!#REF!)</f>
        <v>#REF!</v>
      </c>
      <c r="M83" s="37" t="e">
        <f t="shared" si="11"/>
        <v>#REF!</v>
      </c>
      <c r="N83" s="3" t="e">
        <f>IF('4.담보마스터'!#REF!="","",'4.담보마스터'!#REF!)</f>
        <v>#REF!</v>
      </c>
      <c r="O83" s="3" t="e">
        <f>IF('4.담보마스터'!#REF!="","",'4.담보마스터'!#REF!)</f>
        <v>#REF!</v>
      </c>
    </row>
    <row r="84" spans="1:15">
      <c r="A84" s="12"/>
      <c r="B84" s="32" t="e">
        <f>IF('4.담보마스터'!#REF!="","",'4.담보마스터'!#REF!)</f>
        <v>#REF!</v>
      </c>
      <c r="C84" s="33" t="e">
        <f>IF('4.담보마스터'!#REF!="","",'4.담보마스터'!#REF!)</f>
        <v>#REF!</v>
      </c>
      <c r="D84" s="32" t="e">
        <f>IF('4.담보마스터'!#REF!="","",'4.담보마스터'!#REF!)</f>
        <v>#REF!</v>
      </c>
      <c r="E84" s="34" t="e">
        <f>IF($C84="","",SUMIFS('5.담보원장'!$G$5:$G$68,'5.담보원장'!$F$5:$F$68,$C84,'5.담보원장'!$B$5:$B$68,E$4))</f>
        <v>#REF!</v>
      </c>
      <c r="F84" s="34" t="e">
        <f>IF($C84="","",SUMIFS('5.담보원장'!$G$5:$G$68,'5.담보원장'!$F$5:$F$68,$C84,'5.담보원장'!$B$5:$B$68,F$4))</f>
        <v>#REF!</v>
      </c>
      <c r="G84" s="34" t="e">
        <f>IF($C84="","",SUMIFS('5.담보원장'!$G$5:$G$68,'5.담보원장'!$F$5:$F$68,$C84,'5.담보원장'!$B$5:$B$68,G$4))</f>
        <v>#REF!</v>
      </c>
      <c r="H84" s="35" t="e">
        <f t="shared" si="8"/>
        <v>#REF!</v>
      </c>
      <c r="I84" s="34" t="e">
        <f>IF('4.담보마스터'!#REF!="","",'4.담보마스터'!#REF!)</f>
        <v>#REF!</v>
      </c>
      <c r="J84" s="34" t="e">
        <f t="shared" si="9"/>
        <v>#REF!</v>
      </c>
      <c r="K84" s="36" t="e">
        <f t="shared" si="10"/>
        <v>#REF!</v>
      </c>
      <c r="L84" s="37" t="e">
        <f>IF('4.담보마스터'!#REF!="","",'4.담보마스터'!#REF!)</f>
        <v>#REF!</v>
      </c>
      <c r="M84" s="37" t="e">
        <f t="shared" si="11"/>
        <v>#REF!</v>
      </c>
      <c r="N84" s="3" t="e">
        <f>IF('4.담보마스터'!#REF!="","",'4.담보마스터'!#REF!)</f>
        <v>#REF!</v>
      </c>
      <c r="O84" s="3" t="e">
        <f>IF('4.담보마스터'!#REF!="","",'4.담보마스터'!#REF!)</f>
        <v>#REF!</v>
      </c>
    </row>
    <row r="85" spans="1:15">
      <c r="A85" s="12"/>
      <c r="B85" s="32" t="e">
        <f>IF('4.담보마스터'!#REF!="","",'4.담보마스터'!#REF!)</f>
        <v>#REF!</v>
      </c>
      <c r="C85" s="33" t="e">
        <f>IF('4.담보마스터'!#REF!="","",'4.담보마스터'!#REF!)</f>
        <v>#REF!</v>
      </c>
      <c r="D85" s="32" t="e">
        <f>IF('4.담보마스터'!#REF!="","",'4.담보마스터'!#REF!)</f>
        <v>#REF!</v>
      </c>
      <c r="E85" s="34" t="e">
        <f>IF($C85="","",SUMIFS('5.담보원장'!$G$5:$G$68,'5.담보원장'!$F$5:$F$68,$C85,'5.담보원장'!$B$5:$B$68,E$4))</f>
        <v>#REF!</v>
      </c>
      <c r="F85" s="34" t="e">
        <f>IF($C85="","",SUMIFS('5.담보원장'!$G$5:$G$68,'5.담보원장'!$F$5:$F$68,$C85,'5.담보원장'!$B$5:$B$68,F$4))</f>
        <v>#REF!</v>
      </c>
      <c r="G85" s="34" t="e">
        <f>IF($C85="","",SUMIFS('5.담보원장'!$G$5:$G$68,'5.담보원장'!$F$5:$F$68,$C85,'5.담보원장'!$B$5:$B$68,G$4))</f>
        <v>#REF!</v>
      </c>
      <c r="H85" s="35" t="e">
        <f t="shared" si="8"/>
        <v>#REF!</v>
      </c>
      <c r="I85" s="34" t="e">
        <f>IF('4.담보마스터'!#REF!="","",'4.담보마스터'!#REF!)</f>
        <v>#REF!</v>
      </c>
      <c r="J85" s="34" t="e">
        <f t="shared" si="9"/>
        <v>#REF!</v>
      </c>
      <c r="K85" s="36" t="e">
        <f t="shared" si="10"/>
        <v>#REF!</v>
      </c>
      <c r="L85" s="37" t="e">
        <f>IF('4.담보마스터'!#REF!="","",'4.담보마스터'!#REF!)</f>
        <v>#REF!</v>
      </c>
      <c r="M85" s="37" t="e">
        <f t="shared" si="11"/>
        <v>#REF!</v>
      </c>
      <c r="N85" s="3" t="e">
        <f>IF('4.담보마스터'!#REF!="","",'4.담보마스터'!#REF!)</f>
        <v>#REF!</v>
      </c>
      <c r="O85" s="3" t="e">
        <f>IF('4.담보마스터'!#REF!="","",'4.담보마스터'!#REF!)</f>
        <v>#REF!</v>
      </c>
    </row>
    <row r="86" spans="1:15">
      <c r="A86" s="12"/>
      <c r="B86" s="32" t="e">
        <f>IF('4.담보마스터'!#REF!="","",'4.담보마스터'!#REF!)</f>
        <v>#REF!</v>
      </c>
      <c r="C86" s="33" t="e">
        <f>IF('4.담보마스터'!#REF!="","",'4.담보마스터'!#REF!)</f>
        <v>#REF!</v>
      </c>
      <c r="D86" s="32" t="e">
        <f>IF('4.담보마스터'!#REF!="","",'4.담보마스터'!#REF!)</f>
        <v>#REF!</v>
      </c>
      <c r="E86" s="34" t="e">
        <f>IF($C86="","",SUMIFS('5.담보원장'!$G$5:$G$68,'5.담보원장'!$F$5:$F$68,$C86,'5.담보원장'!$B$5:$B$68,E$4))</f>
        <v>#REF!</v>
      </c>
      <c r="F86" s="34" t="e">
        <f>IF($C86="","",SUMIFS('5.담보원장'!$G$5:$G$68,'5.담보원장'!$F$5:$F$68,$C86,'5.담보원장'!$B$5:$B$68,F$4))</f>
        <v>#REF!</v>
      </c>
      <c r="G86" s="34" t="e">
        <f>IF($C86="","",SUMIFS('5.담보원장'!$G$5:$G$68,'5.담보원장'!$F$5:$F$68,$C86,'5.담보원장'!$B$5:$B$68,G$4))</f>
        <v>#REF!</v>
      </c>
      <c r="H86" s="35" t="e">
        <f t="shared" si="8"/>
        <v>#REF!</v>
      </c>
      <c r="I86" s="34" t="e">
        <f>IF('4.담보마스터'!#REF!="","",'4.담보마스터'!#REF!)</f>
        <v>#REF!</v>
      </c>
      <c r="J86" s="34" t="e">
        <f t="shared" si="9"/>
        <v>#REF!</v>
      </c>
      <c r="K86" s="36" t="e">
        <f t="shared" si="10"/>
        <v>#REF!</v>
      </c>
      <c r="L86" s="37" t="e">
        <f>IF('4.담보마스터'!#REF!="","",'4.담보마스터'!#REF!)</f>
        <v>#REF!</v>
      </c>
      <c r="M86" s="37" t="e">
        <f t="shared" si="11"/>
        <v>#REF!</v>
      </c>
      <c r="N86" s="3" t="e">
        <f>IF('4.담보마스터'!#REF!="","",'4.담보마스터'!#REF!)</f>
        <v>#REF!</v>
      </c>
      <c r="O86" s="3" t="e">
        <f>IF('4.담보마스터'!#REF!="","",'4.담보마스터'!#REF!)</f>
        <v>#REF!</v>
      </c>
    </row>
    <row r="87" spans="1:15">
      <c r="A87" s="12"/>
      <c r="B87" s="32" t="e">
        <f>IF('4.담보마스터'!#REF!="","",'4.담보마스터'!#REF!)</f>
        <v>#REF!</v>
      </c>
      <c r="C87" s="33" t="e">
        <f>IF('4.담보마스터'!#REF!="","",'4.담보마스터'!#REF!)</f>
        <v>#REF!</v>
      </c>
      <c r="D87" s="32" t="e">
        <f>IF('4.담보마스터'!#REF!="","",'4.담보마스터'!#REF!)</f>
        <v>#REF!</v>
      </c>
      <c r="E87" s="34" t="e">
        <f>IF($C87="","",SUMIFS('5.담보원장'!$G$5:$G$68,'5.담보원장'!$F$5:$F$68,$C87,'5.담보원장'!$B$5:$B$68,E$4))</f>
        <v>#REF!</v>
      </c>
      <c r="F87" s="34" t="e">
        <f>IF($C87="","",SUMIFS('5.담보원장'!$G$5:$G$68,'5.담보원장'!$F$5:$F$68,$C87,'5.담보원장'!$B$5:$B$68,F$4))</f>
        <v>#REF!</v>
      </c>
      <c r="G87" s="34" t="e">
        <f>IF($C87="","",SUMIFS('5.담보원장'!$G$5:$G$68,'5.담보원장'!$F$5:$F$68,$C87,'5.담보원장'!$B$5:$B$68,G$4))</f>
        <v>#REF!</v>
      </c>
      <c r="H87" s="35" t="e">
        <f t="shared" si="8"/>
        <v>#REF!</v>
      </c>
      <c r="I87" s="34" t="e">
        <f>IF('4.담보마스터'!#REF!="","",'4.담보마스터'!#REF!)</f>
        <v>#REF!</v>
      </c>
      <c r="J87" s="34" t="e">
        <f t="shared" si="9"/>
        <v>#REF!</v>
      </c>
      <c r="K87" s="36" t="e">
        <f t="shared" si="10"/>
        <v>#REF!</v>
      </c>
      <c r="L87" s="37" t="e">
        <f>IF('4.담보마스터'!#REF!="","",'4.담보마스터'!#REF!)</f>
        <v>#REF!</v>
      </c>
      <c r="M87" s="37" t="e">
        <f t="shared" si="11"/>
        <v>#REF!</v>
      </c>
      <c r="N87" s="3" t="e">
        <f>IF('4.담보마스터'!#REF!="","",'4.담보마스터'!#REF!)</f>
        <v>#REF!</v>
      </c>
      <c r="O87" s="3" t="e">
        <f>IF('4.담보마스터'!#REF!="","",'4.담보마스터'!#REF!)</f>
        <v>#REF!</v>
      </c>
    </row>
    <row r="88" spans="1:15">
      <c r="A88" s="12"/>
      <c r="B88" s="32" t="e">
        <f>IF('4.담보마스터'!#REF!="","",'4.담보마스터'!#REF!)</f>
        <v>#REF!</v>
      </c>
      <c r="C88" s="33" t="e">
        <f>IF('4.담보마스터'!#REF!="","",'4.담보마스터'!#REF!)</f>
        <v>#REF!</v>
      </c>
      <c r="D88" s="32" t="e">
        <f>IF('4.담보마스터'!#REF!="","",'4.담보마스터'!#REF!)</f>
        <v>#REF!</v>
      </c>
      <c r="E88" s="34" t="e">
        <f>IF($C88="","",SUMIFS('5.담보원장'!$G$5:$G$68,'5.담보원장'!$F$5:$F$68,$C88,'5.담보원장'!$B$5:$B$68,E$4))</f>
        <v>#REF!</v>
      </c>
      <c r="F88" s="34" t="e">
        <f>IF($C88="","",SUMIFS('5.담보원장'!$G$5:$G$68,'5.담보원장'!$F$5:$F$68,$C88,'5.담보원장'!$B$5:$B$68,F$4))</f>
        <v>#REF!</v>
      </c>
      <c r="G88" s="34" t="e">
        <f>IF($C88="","",SUMIFS('5.담보원장'!$G$5:$G$68,'5.담보원장'!$F$5:$F$68,$C88,'5.담보원장'!$B$5:$B$68,G$4))</f>
        <v>#REF!</v>
      </c>
      <c r="H88" s="35" t="e">
        <f t="shared" si="8"/>
        <v>#REF!</v>
      </c>
      <c r="I88" s="34" t="e">
        <f>IF('4.담보마스터'!#REF!="","",'4.담보마스터'!#REF!)</f>
        <v>#REF!</v>
      </c>
      <c r="J88" s="34" t="e">
        <f t="shared" si="9"/>
        <v>#REF!</v>
      </c>
      <c r="K88" s="36" t="e">
        <f t="shared" si="10"/>
        <v>#REF!</v>
      </c>
      <c r="L88" s="37" t="e">
        <f>IF('4.담보마스터'!#REF!="","",'4.담보마스터'!#REF!)</f>
        <v>#REF!</v>
      </c>
      <c r="M88" s="37" t="e">
        <f t="shared" si="11"/>
        <v>#REF!</v>
      </c>
      <c r="N88" s="3" t="e">
        <f>IF('4.담보마스터'!#REF!="","",'4.담보마스터'!#REF!)</f>
        <v>#REF!</v>
      </c>
      <c r="O88" s="3" t="e">
        <f>IF('4.담보마스터'!#REF!="","",'4.담보마스터'!#REF!)</f>
        <v>#REF!</v>
      </c>
    </row>
    <row r="89" spans="1:15">
      <c r="A89" s="12"/>
      <c r="B89" s="32" t="e">
        <f>IF('4.담보마스터'!#REF!="","",'4.담보마스터'!#REF!)</f>
        <v>#REF!</v>
      </c>
      <c r="C89" s="33" t="e">
        <f>IF('4.담보마스터'!#REF!="","",'4.담보마스터'!#REF!)</f>
        <v>#REF!</v>
      </c>
      <c r="D89" s="32" t="e">
        <f>IF('4.담보마스터'!#REF!="","",'4.담보마스터'!#REF!)</f>
        <v>#REF!</v>
      </c>
      <c r="E89" s="34" t="e">
        <f>IF($C89="","",SUMIFS('5.담보원장'!$G$5:$G$68,'5.담보원장'!$F$5:$F$68,$C89,'5.담보원장'!$B$5:$B$68,E$4))</f>
        <v>#REF!</v>
      </c>
      <c r="F89" s="34" t="e">
        <f>IF($C89="","",SUMIFS('5.담보원장'!$G$5:$G$68,'5.담보원장'!$F$5:$F$68,$C89,'5.담보원장'!$B$5:$B$68,F$4))</f>
        <v>#REF!</v>
      </c>
      <c r="G89" s="34" t="e">
        <f>IF($C89="","",SUMIFS('5.담보원장'!$G$5:$G$68,'5.담보원장'!$F$5:$F$68,$C89,'5.담보원장'!$B$5:$B$68,G$4))</f>
        <v>#REF!</v>
      </c>
      <c r="H89" s="35" t="e">
        <f t="shared" si="8"/>
        <v>#REF!</v>
      </c>
      <c r="I89" s="34" t="e">
        <f>IF('4.담보마스터'!#REF!="","",'4.담보마스터'!#REF!)</f>
        <v>#REF!</v>
      </c>
      <c r="J89" s="34" t="e">
        <f t="shared" si="9"/>
        <v>#REF!</v>
      </c>
      <c r="K89" s="36" t="e">
        <f t="shared" si="10"/>
        <v>#REF!</v>
      </c>
      <c r="L89" s="37" t="e">
        <f>IF('4.담보마스터'!#REF!="","",'4.담보마스터'!#REF!)</f>
        <v>#REF!</v>
      </c>
      <c r="M89" s="37" t="e">
        <f t="shared" si="11"/>
        <v>#REF!</v>
      </c>
      <c r="N89" s="3" t="e">
        <f>IF('4.담보마스터'!#REF!="","",'4.담보마스터'!#REF!)</f>
        <v>#REF!</v>
      </c>
      <c r="O89" s="3" t="e">
        <f>IF('4.담보마스터'!#REF!="","",'4.담보마스터'!#REF!)</f>
        <v>#REF!</v>
      </c>
    </row>
    <row r="90" spans="1:15">
      <c r="A90" s="12"/>
      <c r="B90" s="32" t="e">
        <f>IF('4.담보마스터'!#REF!="","",'4.담보마스터'!#REF!)</f>
        <v>#REF!</v>
      </c>
      <c r="C90" s="33" t="e">
        <f>IF('4.담보마스터'!#REF!="","",'4.담보마스터'!#REF!)</f>
        <v>#REF!</v>
      </c>
      <c r="D90" s="32" t="e">
        <f>IF('4.담보마스터'!#REF!="","",'4.담보마스터'!#REF!)</f>
        <v>#REF!</v>
      </c>
      <c r="E90" s="34" t="e">
        <f>IF($C90="","",SUMIFS('5.담보원장'!$G$5:$G$68,'5.담보원장'!$F$5:$F$68,$C90,'5.담보원장'!$B$5:$B$68,E$4))</f>
        <v>#REF!</v>
      </c>
      <c r="F90" s="34" t="e">
        <f>IF($C90="","",SUMIFS('5.담보원장'!$G$5:$G$68,'5.담보원장'!$F$5:$F$68,$C90,'5.담보원장'!$B$5:$B$68,F$4))</f>
        <v>#REF!</v>
      </c>
      <c r="G90" s="34" t="e">
        <f>IF($C90="","",SUMIFS('5.담보원장'!$G$5:$G$68,'5.담보원장'!$F$5:$F$68,$C90,'5.담보원장'!$B$5:$B$68,G$4))</f>
        <v>#REF!</v>
      </c>
      <c r="H90" s="35" t="e">
        <f t="shared" si="8"/>
        <v>#REF!</v>
      </c>
      <c r="I90" s="34" t="e">
        <f>IF('4.담보마스터'!#REF!="","",'4.담보마스터'!#REF!)</f>
        <v>#REF!</v>
      </c>
      <c r="J90" s="34" t="e">
        <f t="shared" si="9"/>
        <v>#REF!</v>
      </c>
      <c r="K90" s="36" t="e">
        <f t="shared" si="10"/>
        <v>#REF!</v>
      </c>
      <c r="L90" s="37" t="e">
        <f>IF('4.담보마스터'!#REF!="","",'4.담보마스터'!#REF!)</f>
        <v>#REF!</v>
      </c>
      <c r="M90" s="37" t="e">
        <f t="shared" si="11"/>
        <v>#REF!</v>
      </c>
      <c r="N90" s="3" t="e">
        <f>IF('4.담보마스터'!#REF!="","",'4.담보마스터'!#REF!)</f>
        <v>#REF!</v>
      </c>
      <c r="O90" s="3" t="e">
        <f>IF('4.담보마스터'!#REF!="","",'4.담보마스터'!#REF!)</f>
        <v>#REF!</v>
      </c>
    </row>
    <row r="91" spans="1:15">
      <c r="A91" s="12"/>
      <c r="B91" s="32" t="e">
        <f>IF('4.담보마스터'!#REF!="","",'4.담보마스터'!#REF!)</f>
        <v>#REF!</v>
      </c>
      <c r="C91" s="33" t="e">
        <f>IF('4.담보마스터'!#REF!="","",'4.담보마스터'!#REF!)</f>
        <v>#REF!</v>
      </c>
      <c r="D91" s="32" t="e">
        <f>IF('4.담보마스터'!#REF!="","",'4.담보마스터'!#REF!)</f>
        <v>#REF!</v>
      </c>
      <c r="E91" s="34" t="e">
        <f>IF($C91="","",SUMIFS('5.담보원장'!$G$5:$G$68,'5.담보원장'!$F$5:$F$68,$C91,'5.담보원장'!$B$5:$B$68,E$4))</f>
        <v>#REF!</v>
      </c>
      <c r="F91" s="34" t="e">
        <f>IF($C91="","",SUMIFS('5.담보원장'!$G$5:$G$68,'5.담보원장'!$F$5:$F$68,$C91,'5.담보원장'!$B$5:$B$68,F$4))</f>
        <v>#REF!</v>
      </c>
      <c r="G91" s="34" t="e">
        <f>IF($C91="","",SUMIFS('5.담보원장'!$G$5:$G$68,'5.담보원장'!$F$5:$F$68,$C91,'5.담보원장'!$B$5:$B$68,G$4))</f>
        <v>#REF!</v>
      </c>
      <c r="H91" s="35" t="e">
        <f t="shared" si="8"/>
        <v>#REF!</v>
      </c>
      <c r="I91" s="34" t="e">
        <f>IF('4.담보마스터'!#REF!="","",'4.담보마스터'!#REF!)</f>
        <v>#REF!</v>
      </c>
      <c r="J91" s="34" t="e">
        <f t="shared" si="9"/>
        <v>#REF!</v>
      </c>
      <c r="K91" s="36" t="e">
        <f t="shared" si="10"/>
        <v>#REF!</v>
      </c>
      <c r="L91" s="37" t="e">
        <f>IF('4.담보마스터'!#REF!="","",'4.담보마스터'!#REF!)</f>
        <v>#REF!</v>
      </c>
      <c r="M91" s="37" t="e">
        <f t="shared" si="11"/>
        <v>#REF!</v>
      </c>
      <c r="N91" s="3" t="e">
        <f>IF('4.담보마스터'!#REF!="","",'4.담보마스터'!#REF!)</f>
        <v>#REF!</v>
      </c>
      <c r="O91" s="3" t="e">
        <f>IF('4.담보마스터'!#REF!="","",'4.담보마스터'!#REF!)</f>
        <v>#REF!</v>
      </c>
    </row>
    <row r="92" spans="1:15">
      <c r="A92" s="12"/>
      <c r="B92" s="32" t="e">
        <f>IF('4.담보마스터'!#REF!="","",'4.담보마스터'!#REF!)</f>
        <v>#REF!</v>
      </c>
      <c r="C92" s="33" t="e">
        <f>IF('4.담보마스터'!#REF!="","",'4.담보마스터'!#REF!)</f>
        <v>#REF!</v>
      </c>
      <c r="D92" s="32" t="e">
        <f>IF('4.담보마스터'!#REF!="","",'4.담보마스터'!#REF!)</f>
        <v>#REF!</v>
      </c>
      <c r="E92" s="34" t="e">
        <f>IF($C92="","",SUMIFS('5.담보원장'!$G$5:$G$68,'5.담보원장'!$F$5:$F$68,$C92,'5.담보원장'!$B$5:$B$68,E$4))</f>
        <v>#REF!</v>
      </c>
      <c r="F92" s="34" t="e">
        <f>IF($C92="","",SUMIFS('5.담보원장'!$G$5:$G$68,'5.담보원장'!$F$5:$F$68,$C92,'5.담보원장'!$B$5:$B$68,F$4))</f>
        <v>#REF!</v>
      </c>
      <c r="G92" s="34" t="e">
        <f>IF($C92="","",SUMIFS('5.담보원장'!$G$5:$G$68,'5.담보원장'!$F$5:$F$68,$C92,'5.담보원장'!$B$5:$B$68,G$4))</f>
        <v>#REF!</v>
      </c>
      <c r="H92" s="35" t="e">
        <f t="shared" si="8"/>
        <v>#REF!</v>
      </c>
      <c r="I92" s="34" t="e">
        <f>IF('4.담보마스터'!#REF!="","",'4.담보마스터'!#REF!)</f>
        <v>#REF!</v>
      </c>
      <c r="J92" s="34" t="e">
        <f t="shared" si="9"/>
        <v>#REF!</v>
      </c>
      <c r="K92" s="36" t="e">
        <f t="shared" si="10"/>
        <v>#REF!</v>
      </c>
      <c r="L92" s="37" t="e">
        <f>IF('4.담보마스터'!#REF!="","",'4.담보마스터'!#REF!)</f>
        <v>#REF!</v>
      </c>
      <c r="M92" s="37" t="e">
        <f t="shared" si="11"/>
        <v>#REF!</v>
      </c>
      <c r="N92" s="3" t="e">
        <f>IF('4.담보마스터'!#REF!="","",'4.담보마스터'!#REF!)</f>
        <v>#REF!</v>
      </c>
      <c r="O92" s="3" t="e">
        <f>IF('4.담보마스터'!#REF!="","",'4.담보마스터'!#REF!)</f>
        <v>#REF!</v>
      </c>
    </row>
    <row r="93" spans="1:15">
      <c r="A93" s="12"/>
      <c r="B93" s="32" t="e">
        <f>IF('4.담보마스터'!#REF!="","",'4.담보마스터'!#REF!)</f>
        <v>#REF!</v>
      </c>
      <c r="C93" s="33" t="e">
        <f>IF('4.담보마스터'!#REF!="","",'4.담보마스터'!#REF!)</f>
        <v>#REF!</v>
      </c>
      <c r="D93" s="32" t="e">
        <f>IF('4.담보마스터'!#REF!="","",'4.담보마스터'!#REF!)</f>
        <v>#REF!</v>
      </c>
      <c r="E93" s="34" t="e">
        <f>IF($C93="","",SUMIFS('5.담보원장'!$G$5:$G$68,'5.담보원장'!$F$5:$F$68,$C93,'5.담보원장'!$B$5:$B$68,E$4))</f>
        <v>#REF!</v>
      </c>
      <c r="F93" s="34" t="e">
        <f>IF($C93="","",SUMIFS('5.담보원장'!$G$5:$G$68,'5.담보원장'!$F$5:$F$68,$C93,'5.담보원장'!$B$5:$B$68,F$4))</f>
        <v>#REF!</v>
      </c>
      <c r="G93" s="34" t="e">
        <f>IF($C93="","",SUMIFS('5.담보원장'!$G$5:$G$68,'5.담보원장'!$F$5:$F$68,$C93,'5.담보원장'!$B$5:$B$68,G$4))</f>
        <v>#REF!</v>
      </c>
      <c r="H93" s="35" t="e">
        <f t="shared" si="8"/>
        <v>#REF!</v>
      </c>
      <c r="I93" s="34" t="e">
        <f>IF('4.담보마스터'!#REF!="","",'4.담보마스터'!#REF!)</f>
        <v>#REF!</v>
      </c>
      <c r="J93" s="34" t="e">
        <f t="shared" si="9"/>
        <v>#REF!</v>
      </c>
      <c r="K93" s="36" t="e">
        <f t="shared" si="10"/>
        <v>#REF!</v>
      </c>
      <c r="L93" s="37" t="e">
        <f>IF('4.담보마스터'!#REF!="","",'4.담보마스터'!#REF!)</f>
        <v>#REF!</v>
      </c>
      <c r="M93" s="37" t="e">
        <f t="shared" si="11"/>
        <v>#REF!</v>
      </c>
      <c r="N93" s="3" t="e">
        <f>IF('4.담보마스터'!#REF!="","",'4.담보마스터'!#REF!)</f>
        <v>#REF!</v>
      </c>
      <c r="O93" s="3" t="e">
        <f>IF('4.담보마스터'!#REF!="","",'4.담보마스터'!#REF!)</f>
        <v>#REF!</v>
      </c>
    </row>
    <row r="94" spans="1:15">
      <c r="A94" s="12"/>
      <c r="B94" s="32" t="e">
        <f>IF('4.담보마스터'!#REF!="","",'4.담보마스터'!#REF!)</f>
        <v>#REF!</v>
      </c>
      <c r="C94" s="33" t="e">
        <f>IF('4.담보마스터'!#REF!="","",'4.담보마스터'!#REF!)</f>
        <v>#REF!</v>
      </c>
      <c r="D94" s="32" t="e">
        <f>IF('4.담보마스터'!#REF!="","",'4.담보마스터'!#REF!)</f>
        <v>#REF!</v>
      </c>
      <c r="E94" s="34" t="e">
        <f>IF($C94="","",SUMIFS('5.담보원장'!$G$5:$G$68,'5.담보원장'!$F$5:$F$68,$C94,'5.담보원장'!$B$5:$B$68,E$4))</f>
        <v>#REF!</v>
      </c>
      <c r="F94" s="34" t="e">
        <f>IF($C94="","",SUMIFS('5.담보원장'!$G$5:$G$68,'5.담보원장'!$F$5:$F$68,$C94,'5.담보원장'!$B$5:$B$68,F$4))</f>
        <v>#REF!</v>
      </c>
      <c r="G94" s="34" t="e">
        <f>IF($C94="","",SUMIFS('5.담보원장'!$G$5:$G$68,'5.담보원장'!$F$5:$F$68,$C94,'5.담보원장'!$B$5:$B$68,G$4))</f>
        <v>#REF!</v>
      </c>
      <c r="H94" s="35" t="e">
        <f t="shared" si="8"/>
        <v>#REF!</v>
      </c>
      <c r="I94" s="34" t="e">
        <f>IF('4.담보마스터'!#REF!="","",'4.담보마스터'!#REF!)</f>
        <v>#REF!</v>
      </c>
      <c r="J94" s="34" t="e">
        <f t="shared" si="9"/>
        <v>#REF!</v>
      </c>
      <c r="K94" s="36" t="e">
        <f t="shared" si="10"/>
        <v>#REF!</v>
      </c>
      <c r="L94" s="37" t="e">
        <f>IF('4.담보마스터'!#REF!="","",'4.담보마스터'!#REF!)</f>
        <v>#REF!</v>
      </c>
      <c r="M94" s="37" t="e">
        <f t="shared" si="11"/>
        <v>#REF!</v>
      </c>
      <c r="N94" s="3" t="e">
        <f>IF('4.담보마스터'!#REF!="","",'4.담보마스터'!#REF!)</f>
        <v>#REF!</v>
      </c>
      <c r="O94" s="3" t="e">
        <f>IF('4.담보마스터'!#REF!="","",'4.담보마스터'!#REF!)</f>
        <v>#REF!</v>
      </c>
    </row>
    <row r="95" spans="1:15">
      <c r="A95" s="12"/>
      <c r="B95" s="32" t="e">
        <f>IF('4.담보마스터'!#REF!="","",'4.담보마스터'!#REF!)</f>
        <v>#REF!</v>
      </c>
      <c r="C95" s="33" t="e">
        <f>IF('4.담보마스터'!#REF!="","",'4.담보마스터'!#REF!)</f>
        <v>#REF!</v>
      </c>
      <c r="D95" s="32" t="e">
        <f>IF('4.담보마스터'!#REF!="","",'4.담보마스터'!#REF!)</f>
        <v>#REF!</v>
      </c>
      <c r="E95" s="34" t="e">
        <f>IF($C95="","",SUMIFS('5.담보원장'!$G$5:$G$68,'5.담보원장'!$F$5:$F$68,$C95,'5.담보원장'!$B$5:$B$68,E$4))</f>
        <v>#REF!</v>
      </c>
      <c r="F95" s="34" t="e">
        <f>IF($C95="","",SUMIFS('5.담보원장'!$G$5:$G$68,'5.담보원장'!$F$5:$F$68,$C95,'5.담보원장'!$B$5:$B$68,F$4))</f>
        <v>#REF!</v>
      </c>
      <c r="G95" s="34" t="e">
        <f>IF($C95="","",SUMIFS('5.담보원장'!$G$5:$G$68,'5.담보원장'!$F$5:$F$68,$C95,'5.담보원장'!$B$5:$B$68,G$4))</f>
        <v>#REF!</v>
      </c>
      <c r="H95" s="35" t="e">
        <f t="shared" si="8"/>
        <v>#REF!</v>
      </c>
      <c r="I95" s="34" t="e">
        <f>IF('4.담보마스터'!#REF!="","",'4.담보마스터'!#REF!)</f>
        <v>#REF!</v>
      </c>
      <c r="J95" s="34" t="e">
        <f t="shared" si="9"/>
        <v>#REF!</v>
      </c>
      <c r="K95" s="36" t="e">
        <f t="shared" si="10"/>
        <v>#REF!</v>
      </c>
      <c r="L95" s="37" t="e">
        <f>IF('4.담보마스터'!#REF!="","",'4.담보마스터'!#REF!)</f>
        <v>#REF!</v>
      </c>
      <c r="M95" s="37" t="e">
        <f t="shared" si="11"/>
        <v>#REF!</v>
      </c>
      <c r="N95" s="3" t="e">
        <f>IF('4.담보마스터'!#REF!="","",'4.담보마스터'!#REF!)</f>
        <v>#REF!</v>
      </c>
      <c r="O95" s="3" t="e">
        <f>IF('4.담보마스터'!#REF!="","",'4.담보마스터'!#REF!)</f>
        <v>#REF!</v>
      </c>
    </row>
    <row r="96" spans="1:15">
      <c r="A96" s="12"/>
      <c r="B96" s="32" t="e">
        <f>IF('4.담보마스터'!#REF!="","",'4.담보마스터'!#REF!)</f>
        <v>#REF!</v>
      </c>
      <c r="C96" s="33" t="e">
        <f>IF('4.담보마스터'!#REF!="","",'4.담보마스터'!#REF!)</f>
        <v>#REF!</v>
      </c>
      <c r="D96" s="32" t="e">
        <f>IF('4.담보마스터'!#REF!="","",'4.담보마스터'!#REF!)</f>
        <v>#REF!</v>
      </c>
      <c r="E96" s="34" t="e">
        <f>IF($C96="","",SUMIFS('5.담보원장'!$G$5:$G$68,'5.담보원장'!$F$5:$F$68,$C96,'5.담보원장'!$B$5:$B$68,E$4))</f>
        <v>#REF!</v>
      </c>
      <c r="F96" s="34" t="e">
        <f>IF($C96="","",SUMIFS('5.담보원장'!$G$5:$G$68,'5.담보원장'!$F$5:$F$68,$C96,'5.담보원장'!$B$5:$B$68,F$4))</f>
        <v>#REF!</v>
      </c>
      <c r="G96" s="34" t="e">
        <f>IF($C96="","",SUMIFS('5.담보원장'!$G$5:$G$68,'5.담보원장'!$F$5:$F$68,$C96,'5.담보원장'!$B$5:$B$68,G$4))</f>
        <v>#REF!</v>
      </c>
      <c r="H96" s="35" t="e">
        <f t="shared" si="8"/>
        <v>#REF!</v>
      </c>
      <c r="I96" s="34" t="e">
        <f>IF('4.담보마스터'!#REF!="","",'4.담보마스터'!#REF!)</f>
        <v>#REF!</v>
      </c>
      <c r="J96" s="34" t="e">
        <f t="shared" si="9"/>
        <v>#REF!</v>
      </c>
      <c r="K96" s="36" t="e">
        <f t="shared" si="10"/>
        <v>#REF!</v>
      </c>
      <c r="L96" s="37" t="e">
        <f>IF('4.담보마스터'!#REF!="","",'4.담보마스터'!#REF!)</f>
        <v>#REF!</v>
      </c>
      <c r="M96" s="37" t="e">
        <f t="shared" si="11"/>
        <v>#REF!</v>
      </c>
      <c r="N96" s="3" t="e">
        <f>IF('4.담보마스터'!#REF!="","",'4.담보마스터'!#REF!)</f>
        <v>#REF!</v>
      </c>
      <c r="O96" s="3" t="e">
        <f>IF('4.담보마스터'!#REF!="","",'4.담보마스터'!#REF!)</f>
        <v>#REF!</v>
      </c>
    </row>
    <row r="97" spans="1:15">
      <c r="A97" s="12"/>
      <c r="B97" s="32" t="e">
        <f>IF('4.담보마스터'!#REF!="","",'4.담보마스터'!#REF!)</f>
        <v>#REF!</v>
      </c>
      <c r="C97" s="33" t="e">
        <f>IF('4.담보마스터'!#REF!="","",'4.담보마스터'!#REF!)</f>
        <v>#REF!</v>
      </c>
      <c r="D97" s="32" t="e">
        <f>IF('4.담보마스터'!#REF!="","",'4.담보마스터'!#REF!)</f>
        <v>#REF!</v>
      </c>
      <c r="E97" s="34" t="e">
        <f>IF($C97="","",SUMIFS('5.담보원장'!$G$5:$G$68,'5.담보원장'!$F$5:$F$68,$C97,'5.담보원장'!$B$5:$B$68,E$4))</f>
        <v>#REF!</v>
      </c>
      <c r="F97" s="34" t="e">
        <f>IF($C97="","",SUMIFS('5.담보원장'!$G$5:$G$68,'5.담보원장'!$F$5:$F$68,$C97,'5.담보원장'!$B$5:$B$68,F$4))</f>
        <v>#REF!</v>
      </c>
      <c r="G97" s="34" t="e">
        <f>IF($C97="","",SUMIFS('5.담보원장'!$G$5:$G$68,'5.담보원장'!$F$5:$F$68,$C97,'5.담보원장'!$B$5:$B$68,G$4))</f>
        <v>#REF!</v>
      </c>
      <c r="H97" s="35" t="e">
        <f t="shared" si="8"/>
        <v>#REF!</v>
      </c>
      <c r="I97" s="34" t="e">
        <f>IF('4.담보마스터'!#REF!="","",'4.담보마스터'!#REF!)</f>
        <v>#REF!</v>
      </c>
      <c r="J97" s="34" t="e">
        <f t="shared" si="9"/>
        <v>#REF!</v>
      </c>
      <c r="K97" s="36" t="e">
        <f t="shared" si="10"/>
        <v>#REF!</v>
      </c>
      <c r="L97" s="37" t="e">
        <f>IF('4.담보마스터'!#REF!="","",'4.담보마스터'!#REF!)</f>
        <v>#REF!</v>
      </c>
      <c r="M97" s="37" t="e">
        <f t="shared" si="11"/>
        <v>#REF!</v>
      </c>
      <c r="N97" s="3" t="e">
        <f>IF('4.담보마스터'!#REF!="","",'4.담보마스터'!#REF!)</f>
        <v>#REF!</v>
      </c>
      <c r="O97" s="3" t="e">
        <f>IF('4.담보마스터'!#REF!="","",'4.담보마스터'!#REF!)</f>
        <v>#REF!</v>
      </c>
    </row>
    <row r="98" spans="1:15">
      <c r="A98" s="12"/>
      <c r="B98" s="32" t="e">
        <f>IF('4.담보마스터'!#REF!="","",'4.담보마스터'!#REF!)</f>
        <v>#REF!</v>
      </c>
      <c r="C98" s="33" t="e">
        <f>IF('4.담보마스터'!#REF!="","",'4.담보마스터'!#REF!)</f>
        <v>#REF!</v>
      </c>
      <c r="D98" s="32" t="e">
        <f>IF('4.담보마스터'!#REF!="","",'4.담보마스터'!#REF!)</f>
        <v>#REF!</v>
      </c>
      <c r="E98" s="34" t="e">
        <f>IF($C98="","",SUMIFS('5.담보원장'!$G$5:$G$68,'5.담보원장'!$F$5:$F$68,$C98,'5.담보원장'!$B$5:$B$68,E$4))</f>
        <v>#REF!</v>
      </c>
      <c r="F98" s="34" t="e">
        <f>IF($C98="","",SUMIFS('5.담보원장'!$G$5:$G$68,'5.담보원장'!$F$5:$F$68,$C98,'5.담보원장'!$B$5:$B$68,F$4))</f>
        <v>#REF!</v>
      </c>
      <c r="G98" s="34" t="e">
        <f>IF($C98="","",SUMIFS('5.담보원장'!$G$5:$G$68,'5.담보원장'!$F$5:$F$68,$C98,'5.담보원장'!$B$5:$B$68,G$4))</f>
        <v>#REF!</v>
      </c>
      <c r="H98" s="35" t="e">
        <f t="shared" si="8"/>
        <v>#REF!</v>
      </c>
      <c r="I98" s="34" t="e">
        <f>IF('4.담보마스터'!#REF!="","",'4.담보마스터'!#REF!)</f>
        <v>#REF!</v>
      </c>
      <c r="J98" s="34" t="e">
        <f t="shared" si="9"/>
        <v>#REF!</v>
      </c>
      <c r="K98" s="36" t="e">
        <f t="shared" si="10"/>
        <v>#REF!</v>
      </c>
      <c r="L98" s="37" t="e">
        <f>IF('4.담보마스터'!#REF!="","",'4.담보마스터'!#REF!)</f>
        <v>#REF!</v>
      </c>
      <c r="M98" s="37" t="e">
        <f t="shared" si="11"/>
        <v>#REF!</v>
      </c>
      <c r="N98" s="3" t="e">
        <f>IF('4.담보마스터'!#REF!="","",'4.담보마스터'!#REF!)</f>
        <v>#REF!</v>
      </c>
      <c r="O98" s="3" t="e">
        <f>IF('4.담보마스터'!#REF!="","",'4.담보마스터'!#REF!)</f>
        <v>#REF!</v>
      </c>
    </row>
    <row r="99" spans="1:15">
      <c r="A99" s="12"/>
      <c r="B99" s="32" t="e">
        <f>IF('4.담보마스터'!#REF!="","",'4.담보마스터'!#REF!)</f>
        <v>#REF!</v>
      </c>
      <c r="C99" s="33" t="e">
        <f>IF('4.담보마스터'!#REF!="","",'4.담보마스터'!#REF!)</f>
        <v>#REF!</v>
      </c>
      <c r="D99" s="32" t="e">
        <f>IF('4.담보마스터'!#REF!="","",'4.담보마스터'!#REF!)</f>
        <v>#REF!</v>
      </c>
      <c r="E99" s="34" t="e">
        <f>IF($C99="","",SUMIFS('5.담보원장'!$G$5:$G$68,'5.담보원장'!$F$5:$F$68,$C99,'5.담보원장'!$B$5:$B$68,E$4))</f>
        <v>#REF!</v>
      </c>
      <c r="F99" s="34" t="e">
        <f>IF($C99="","",SUMIFS('5.담보원장'!$G$5:$G$68,'5.담보원장'!$F$5:$F$68,$C99,'5.담보원장'!$B$5:$B$68,F$4))</f>
        <v>#REF!</v>
      </c>
      <c r="G99" s="34" t="e">
        <f>IF($C99="","",SUMIFS('5.담보원장'!$G$5:$G$68,'5.담보원장'!$F$5:$F$68,$C99,'5.담보원장'!$B$5:$B$68,G$4))</f>
        <v>#REF!</v>
      </c>
      <c r="H99" s="35" t="e">
        <f t="shared" si="8"/>
        <v>#REF!</v>
      </c>
      <c r="I99" s="34" t="e">
        <f>IF('4.담보마스터'!#REF!="","",'4.담보마스터'!#REF!)</f>
        <v>#REF!</v>
      </c>
      <c r="J99" s="34" t="e">
        <f t="shared" si="9"/>
        <v>#REF!</v>
      </c>
      <c r="K99" s="36" t="e">
        <f t="shared" si="10"/>
        <v>#REF!</v>
      </c>
      <c r="L99" s="37" t="e">
        <f>IF('4.담보마스터'!#REF!="","",'4.담보마스터'!#REF!)</f>
        <v>#REF!</v>
      </c>
      <c r="M99" s="37" t="e">
        <f t="shared" si="11"/>
        <v>#REF!</v>
      </c>
      <c r="N99" s="3" t="e">
        <f>IF('4.담보마스터'!#REF!="","",'4.담보마스터'!#REF!)</f>
        <v>#REF!</v>
      </c>
      <c r="O99" s="3" t="e">
        <f>IF('4.담보마스터'!#REF!="","",'4.담보마스터'!#REF!)</f>
        <v>#REF!</v>
      </c>
    </row>
    <row r="100" spans="1:15">
      <c r="A100" s="12"/>
      <c r="B100" s="32" t="e">
        <f>IF('4.담보마스터'!#REF!="","",'4.담보마스터'!#REF!)</f>
        <v>#REF!</v>
      </c>
      <c r="C100" s="33" t="e">
        <f>IF('4.담보마스터'!#REF!="","",'4.담보마스터'!#REF!)</f>
        <v>#REF!</v>
      </c>
      <c r="D100" s="32" t="e">
        <f>IF('4.담보마스터'!#REF!="","",'4.담보마스터'!#REF!)</f>
        <v>#REF!</v>
      </c>
      <c r="E100" s="34" t="e">
        <f>IF($C100="","",SUMIFS('5.담보원장'!$G$5:$G$68,'5.담보원장'!$F$5:$F$68,$C100,'5.담보원장'!$B$5:$B$68,E$4))</f>
        <v>#REF!</v>
      </c>
      <c r="F100" s="34" t="e">
        <f>IF($C100="","",SUMIFS('5.담보원장'!$G$5:$G$68,'5.담보원장'!$F$5:$F$68,$C100,'5.담보원장'!$B$5:$B$68,F$4))</f>
        <v>#REF!</v>
      </c>
      <c r="G100" s="34" t="e">
        <f>IF($C100="","",SUMIFS('5.담보원장'!$G$5:$G$68,'5.담보원장'!$F$5:$F$68,$C100,'5.담보원장'!$B$5:$B$68,G$4))</f>
        <v>#REF!</v>
      </c>
      <c r="H100" s="35" t="e">
        <f t="shared" si="8"/>
        <v>#REF!</v>
      </c>
      <c r="I100" s="34" t="e">
        <f>IF('4.담보마스터'!#REF!="","",'4.담보마스터'!#REF!)</f>
        <v>#REF!</v>
      </c>
      <c r="J100" s="34" t="e">
        <f t="shared" si="9"/>
        <v>#REF!</v>
      </c>
      <c r="K100" s="36" t="e">
        <f t="shared" si="10"/>
        <v>#REF!</v>
      </c>
      <c r="L100" s="37" t="e">
        <f>IF('4.담보마스터'!#REF!="","",'4.담보마스터'!#REF!)</f>
        <v>#REF!</v>
      </c>
      <c r="M100" s="37" t="e">
        <f t="shared" si="11"/>
        <v>#REF!</v>
      </c>
      <c r="N100" s="3" t="e">
        <f>IF('4.담보마스터'!#REF!="","",'4.담보마스터'!#REF!)</f>
        <v>#REF!</v>
      </c>
      <c r="O100" s="3" t="e">
        <f>IF('4.담보마스터'!#REF!="","",'4.담보마스터'!#REF!)</f>
        <v>#REF!</v>
      </c>
    </row>
    <row r="101" spans="1:15">
      <c r="A101" s="12"/>
      <c r="B101" s="39"/>
      <c r="C101" s="39"/>
      <c r="D101" s="39"/>
      <c r="E101" s="39"/>
      <c r="F101" s="39"/>
      <c r="G101" s="39"/>
      <c r="H101" s="39"/>
      <c r="I101" s="39"/>
      <c r="J101" s="39"/>
      <c r="K101" s="39"/>
      <c r="L101" s="39"/>
      <c r="M101" s="39"/>
      <c r="N101" s="12"/>
      <c r="O101" s="12"/>
    </row>
    <row r="102" spans="1:15" ht="33.75">
      <c r="A102" s="12"/>
      <c r="B102" s="39"/>
      <c r="C102" s="40" t="s">
        <v>45</v>
      </c>
      <c r="D102" s="41" t="s">
        <v>13</v>
      </c>
      <c r="E102" s="42" t="s">
        <v>46</v>
      </c>
      <c r="F102" s="43" t="s">
        <v>14</v>
      </c>
      <c r="G102" s="42" t="s">
        <v>286</v>
      </c>
      <c r="H102" s="44" t="s">
        <v>15</v>
      </c>
      <c r="I102" s="42" t="s">
        <v>287</v>
      </c>
      <c r="J102" s="45" t="s">
        <v>47</v>
      </c>
      <c r="K102" s="42" t="s">
        <v>48</v>
      </c>
      <c r="L102" s="39"/>
      <c r="M102" s="39"/>
      <c r="N102" s="12"/>
      <c r="O102" s="12"/>
    </row>
    <row r="103" spans="1:15">
      <c r="A103" s="12"/>
      <c r="B103" s="39"/>
      <c r="C103" s="39"/>
      <c r="D103" s="39"/>
      <c r="E103" s="39"/>
      <c r="F103" s="39"/>
      <c r="G103" s="39"/>
      <c r="H103" s="39"/>
      <c r="I103" s="39"/>
      <c r="J103" s="39"/>
      <c r="K103" s="39"/>
      <c r="L103" s="39"/>
      <c r="M103" s="39"/>
      <c r="N103" s="12"/>
      <c r="O103" s="12"/>
    </row>
    <row r="104" spans="1:15">
      <c r="A104" s="12"/>
      <c r="B104" s="39"/>
      <c r="C104" s="74" t="s">
        <v>288</v>
      </c>
      <c r="D104" s="74"/>
      <c r="E104" s="74"/>
      <c r="F104" s="74"/>
      <c r="G104" s="74"/>
      <c r="H104" s="74"/>
      <c r="I104" s="74"/>
      <c r="J104" s="74"/>
      <c r="K104" s="74"/>
      <c r="L104" s="74"/>
      <c r="M104" s="74"/>
      <c r="N104" s="69"/>
      <c r="O104" s="69"/>
    </row>
  </sheetData>
  <autoFilter ref="B5:O100" xr:uid="{00000000-0009-0000-0000-000002000000}"/>
  <mergeCells count="3">
    <mergeCell ref="A1:O1"/>
    <mergeCell ref="A2:O2"/>
    <mergeCell ref="C104:O104"/>
  </mergeCells>
  <phoneticPr fontId="13" type="noConversion"/>
  <conditionalFormatting sqref="B6:O100">
    <cfRule type="expression" dxfId="2" priority="2">
      <formula>$K6="미가입"</formula>
    </cfRule>
    <cfRule type="expression" dxfId="1" priority="3">
      <formula>$K6="부족"</formula>
    </cfRule>
    <cfRule type="expression" dxfId="0" priority="4">
      <formula>$K6="충분"</formula>
    </cfRule>
  </conditionalFormatting>
  <printOptions horizontalCentered="1"/>
  <pageMargins left="0.75" right="0.75" top="1" bottom="1" header="0.511811023622047" footer="0.511811023622047"/>
  <pageSetup paperSize="9" fitToWidth="2" fitToHeight="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82"/>
  <sheetViews>
    <sheetView showGridLines="0" view="pageBreakPreview" zoomScale="60" zoomScaleNormal="100" workbookViewId="0">
      <pane xSplit="3" ySplit="4" topLeftCell="D54" activePane="bottomRight" state="frozen"/>
      <selection pane="topRight" activeCell="D1" sqref="D1"/>
      <selection pane="bottomLeft" activeCell="A5" sqref="A5"/>
      <selection pane="bottomRight" activeCell="H67" sqref="H67"/>
    </sheetView>
  </sheetViews>
  <sheetFormatPr defaultColWidth="8.7109375" defaultRowHeight="15"/>
  <cols>
    <col min="1" max="1" width="2.28515625" customWidth="1"/>
    <col min="2" max="2" width="5.7109375" customWidth="1"/>
    <col min="3" max="3" width="9.85546875" customWidth="1"/>
    <col min="4" max="4" width="25.7109375" customWidth="1"/>
    <col min="5" max="5" width="8" customWidth="1"/>
    <col min="6" max="6" width="10.42578125" customWidth="1"/>
    <col min="7" max="7" width="11.85546875" customWidth="1"/>
    <col min="8" max="9" width="36.140625" customWidth="1"/>
  </cols>
  <sheetData>
    <row r="1" spans="1:9" ht="26.25">
      <c r="A1" s="66" t="s">
        <v>289</v>
      </c>
      <c r="B1" s="66"/>
      <c r="C1" s="66"/>
      <c r="D1" s="66"/>
      <c r="E1" s="66"/>
      <c r="F1" s="66"/>
      <c r="G1" s="66"/>
      <c r="H1" s="66"/>
      <c r="I1" s="66"/>
    </row>
    <row r="2" spans="1:9">
      <c r="A2" s="67" t="s">
        <v>290</v>
      </c>
      <c r="B2" s="67"/>
      <c r="C2" s="67"/>
      <c r="D2" s="67"/>
      <c r="E2" s="67"/>
      <c r="F2" s="67"/>
      <c r="G2" s="67"/>
      <c r="H2" s="67"/>
      <c r="I2" s="67"/>
    </row>
    <row r="3" spans="1:9">
      <c r="A3" s="12"/>
      <c r="B3" s="12"/>
      <c r="C3" s="12"/>
      <c r="D3" s="12"/>
      <c r="E3" s="12"/>
      <c r="F3" s="12"/>
      <c r="G3" s="12"/>
      <c r="H3" s="12"/>
      <c r="I3" s="12"/>
    </row>
    <row r="4" spans="1:9" ht="48">
      <c r="A4" s="7"/>
      <c r="B4" s="7" t="s">
        <v>49</v>
      </c>
      <c r="C4" s="7" t="s">
        <v>39</v>
      </c>
      <c r="D4" s="7" t="s">
        <v>291</v>
      </c>
      <c r="E4" s="7" t="s">
        <v>41</v>
      </c>
      <c r="F4" s="7" t="s">
        <v>292</v>
      </c>
      <c r="G4" s="7" t="s">
        <v>293</v>
      </c>
      <c r="H4" s="7" t="s">
        <v>294</v>
      </c>
      <c r="I4" s="7" t="s">
        <v>285</v>
      </c>
    </row>
    <row r="5" spans="1:9" ht="24">
      <c r="A5" s="12"/>
      <c r="B5" s="32">
        <v>1</v>
      </c>
      <c r="C5" s="32" t="s">
        <v>50</v>
      </c>
      <c r="D5" s="33" t="s">
        <v>295</v>
      </c>
      <c r="E5" s="32" t="s">
        <v>51</v>
      </c>
      <c r="F5" s="34">
        <v>10000</v>
      </c>
      <c r="G5" s="34"/>
      <c r="H5" s="3" t="s">
        <v>296</v>
      </c>
      <c r="I5" s="3" t="s">
        <v>297</v>
      </c>
    </row>
    <row r="6" spans="1:9" ht="24">
      <c r="A6" s="12"/>
      <c r="B6" s="32">
        <v>2</v>
      </c>
      <c r="C6" s="32" t="s">
        <v>50</v>
      </c>
      <c r="D6" s="33" t="s">
        <v>298</v>
      </c>
      <c r="E6" s="32" t="s">
        <v>51</v>
      </c>
      <c r="F6" s="34">
        <v>10000</v>
      </c>
      <c r="G6" s="34">
        <v>10000</v>
      </c>
      <c r="H6" s="3" t="s">
        <v>299</v>
      </c>
      <c r="I6" s="3" t="s">
        <v>300</v>
      </c>
    </row>
    <row r="7" spans="1:9" ht="24">
      <c r="A7" s="12"/>
      <c r="B7" s="32">
        <v>3</v>
      </c>
      <c r="C7" s="32" t="s">
        <v>50</v>
      </c>
      <c r="D7" s="33" t="s">
        <v>301</v>
      </c>
      <c r="E7" s="32" t="s">
        <v>51</v>
      </c>
      <c r="F7" s="34"/>
      <c r="G7" s="34"/>
      <c r="H7" s="3" t="s">
        <v>302</v>
      </c>
      <c r="I7" s="3" t="s">
        <v>52</v>
      </c>
    </row>
    <row r="8" spans="1:9" ht="36">
      <c r="A8" s="12"/>
      <c r="B8" s="32">
        <v>4</v>
      </c>
      <c r="C8" s="32" t="s">
        <v>50</v>
      </c>
      <c r="D8" s="33" t="s">
        <v>303</v>
      </c>
      <c r="E8" s="32" t="s">
        <v>51</v>
      </c>
      <c r="F8" s="34">
        <v>20000</v>
      </c>
      <c r="G8" s="34">
        <v>20000</v>
      </c>
      <c r="H8" s="3" t="s">
        <v>304</v>
      </c>
      <c r="I8" s="3" t="s">
        <v>305</v>
      </c>
    </row>
    <row r="9" spans="1:9" ht="132">
      <c r="A9" s="12"/>
      <c r="B9" s="47">
        <v>5</v>
      </c>
      <c r="C9" s="47" t="s">
        <v>306</v>
      </c>
      <c r="D9" s="48" t="s">
        <v>307</v>
      </c>
      <c r="E9" s="47" t="s">
        <v>51</v>
      </c>
      <c r="F9" s="49">
        <v>50</v>
      </c>
      <c r="G9" s="49">
        <v>1000</v>
      </c>
      <c r="H9" s="46" t="s">
        <v>308</v>
      </c>
      <c r="I9" s="46" t="s">
        <v>309</v>
      </c>
    </row>
    <row r="10" spans="1:9" ht="48">
      <c r="A10" s="12"/>
      <c r="B10" s="32">
        <v>6</v>
      </c>
      <c r="C10" s="32" t="s">
        <v>306</v>
      </c>
      <c r="D10" s="33" t="s">
        <v>310</v>
      </c>
      <c r="E10" s="32" t="s">
        <v>51</v>
      </c>
      <c r="F10" s="34">
        <v>100</v>
      </c>
      <c r="G10" s="34">
        <v>500</v>
      </c>
      <c r="H10" s="3" t="s">
        <v>311</v>
      </c>
      <c r="I10" s="3" t="s">
        <v>312</v>
      </c>
    </row>
    <row r="11" spans="1:9" ht="48">
      <c r="A11" s="12"/>
      <c r="B11" s="32">
        <v>7</v>
      </c>
      <c r="C11" s="32" t="s">
        <v>306</v>
      </c>
      <c r="D11" s="33" t="s">
        <v>313</v>
      </c>
      <c r="E11" s="32" t="s">
        <v>51</v>
      </c>
      <c r="F11" s="34">
        <v>100</v>
      </c>
      <c r="G11" s="34">
        <v>1000</v>
      </c>
      <c r="H11" s="3" t="s">
        <v>314</v>
      </c>
      <c r="I11" s="3" t="s">
        <v>315</v>
      </c>
    </row>
    <row r="12" spans="1:9" ht="60">
      <c r="A12" s="12"/>
      <c r="B12" s="32">
        <v>8</v>
      </c>
      <c r="C12" s="32" t="s">
        <v>306</v>
      </c>
      <c r="D12" s="33" t="s">
        <v>316</v>
      </c>
      <c r="E12" s="32" t="s">
        <v>51</v>
      </c>
      <c r="F12" s="34"/>
      <c r="G12" s="34">
        <v>1000</v>
      </c>
      <c r="H12" s="3" t="s">
        <v>317</v>
      </c>
      <c r="I12" s="3" t="s">
        <v>318</v>
      </c>
    </row>
    <row r="13" spans="1:9" ht="24">
      <c r="A13" s="12"/>
      <c r="B13" s="32">
        <v>9</v>
      </c>
      <c r="C13" s="32" t="s">
        <v>306</v>
      </c>
      <c r="D13" s="33" t="s">
        <v>319</v>
      </c>
      <c r="E13" s="32" t="s">
        <v>320</v>
      </c>
      <c r="F13" s="34">
        <v>3</v>
      </c>
      <c r="G13" s="34">
        <v>5</v>
      </c>
      <c r="H13" s="3" t="s">
        <v>321</v>
      </c>
      <c r="I13" s="3" t="s">
        <v>322</v>
      </c>
    </row>
    <row r="14" spans="1:9" ht="24">
      <c r="A14" s="12"/>
      <c r="B14" s="32">
        <v>10</v>
      </c>
      <c r="C14" s="32" t="s">
        <v>306</v>
      </c>
      <c r="D14" s="33" t="s">
        <v>323</v>
      </c>
      <c r="E14" s="32" t="s">
        <v>320</v>
      </c>
      <c r="F14" s="34">
        <v>3</v>
      </c>
      <c r="G14" s="34"/>
      <c r="H14" s="3" t="s">
        <v>324</v>
      </c>
      <c r="I14" s="3" t="s">
        <v>325</v>
      </c>
    </row>
    <row r="15" spans="1:9" ht="24">
      <c r="A15" s="12"/>
      <c r="B15" s="32">
        <v>11</v>
      </c>
      <c r="C15" s="32" t="s">
        <v>306</v>
      </c>
      <c r="D15" s="33" t="s">
        <v>326</v>
      </c>
      <c r="E15" s="32" t="s">
        <v>320</v>
      </c>
      <c r="F15" s="34">
        <v>3</v>
      </c>
      <c r="G15" s="34">
        <v>5</v>
      </c>
      <c r="H15" s="3" t="s">
        <v>327</v>
      </c>
      <c r="I15" s="3" t="s">
        <v>328</v>
      </c>
    </row>
    <row r="16" spans="1:9">
      <c r="A16" s="12"/>
      <c r="B16" s="32">
        <v>12</v>
      </c>
      <c r="C16" s="32" t="s">
        <v>306</v>
      </c>
      <c r="D16" s="33" t="s">
        <v>53</v>
      </c>
      <c r="E16" s="32" t="s">
        <v>320</v>
      </c>
      <c r="F16" s="34"/>
      <c r="G16" s="34"/>
      <c r="H16" s="3" t="s">
        <v>54</v>
      </c>
      <c r="I16" s="3" t="s">
        <v>15</v>
      </c>
    </row>
    <row r="17" spans="1:9" ht="24">
      <c r="A17" s="12"/>
      <c r="B17" s="32">
        <v>13</v>
      </c>
      <c r="C17" s="32" t="s">
        <v>55</v>
      </c>
      <c r="D17" s="33" t="s">
        <v>329</v>
      </c>
      <c r="E17" s="32" t="s">
        <v>51</v>
      </c>
      <c r="F17" s="34"/>
      <c r="G17" s="34"/>
      <c r="H17" s="3" t="s">
        <v>330</v>
      </c>
      <c r="I17" s="3" t="s">
        <v>15</v>
      </c>
    </row>
    <row r="18" spans="1:9">
      <c r="A18" s="12"/>
      <c r="B18" s="32">
        <v>14</v>
      </c>
      <c r="C18" s="32" t="s">
        <v>55</v>
      </c>
      <c r="D18" s="33" t="s">
        <v>56</v>
      </c>
      <c r="E18" s="32" t="s">
        <v>51</v>
      </c>
      <c r="F18" s="34"/>
      <c r="G18" s="34"/>
      <c r="H18" s="3" t="s">
        <v>331</v>
      </c>
      <c r="I18" s="3" t="s">
        <v>15</v>
      </c>
    </row>
    <row r="19" spans="1:9">
      <c r="A19" s="12"/>
      <c r="B19" s="32">
        <v>15</v>
      </c>
      <c r="C19" s="32" t="s">
        <v>55</v>
      </c>
      <c r="D19" s="33" t="s">
        <v>57</v>
      </c>
      <c r="E19" s="32" t="s">
        <v>51</v>
      </c>
      <c r="F19" s="34"/>
      <c r="G19" s="34"/>
      <c r="H19" s="3" t="s">
        <v>58</v>
      </c>
      <c r="I19" s="3" t="s">
        <v>15</v>
      </c>
    </row>
    <row r="20" spans="1:9" ht="36">
      <c r="A20" s="12"/>
      <c r="B20" s="32">
        <v>16</v>
      </c>
      <c r="C20" s="32" t="s">
        <v>55</v>
      </c>
      <c r="D20" s="33" t="s">
        <v>59</v>
      </c>
      <c r="E20" s="32" t="s">
        <v>51</v>
      </c>
      <c r="F20" s="34">
        <v>10000</v>
      </c>
      <c r="G20" s="34">
        <v>10000</v>
      </c>
      <c r="H20" s="3" t="s">
        <v>332</v>
      </c>
      <c r="I20" s="3" t="s">
        <v>333</v>
      </c>
    </row>
    <row r="21" spans="1:9" ht="24">
      <c r="A21" s="12"/>
      <c r="B21" s="32">
        <v>17</v>
      </c>
      <c r="C21" s="32" t="s">
        <v>55</v>
      </c>
      <c r="D21" s="33" t="s">
        <v>60</v>
      </c>
      <c r="E21" s="32" t="s">
        <v>51</v>
      </c>
      <c r="F21" s="34">
        <v>300</v>
      </c>
      <c r="G21" s="34">
        <v>500</v>
      </c>
      <c r="H21" s="3" t="s">
        <v>334</v>
      </c>
      <c r="I21" s="3" t="s">
        <v>335</v>
      </c>
    </row>
    <row r="22" spans="1:9">
      <c r="A22" s="12"/>
      <c r="B22" s="32">
        <v>18</v>
      </c>
      <c r="C22" s="32" t="s">
        <v>55</v>
      </c>
      <c r="D22" s="33" t="s">
        <v>61</v>
      </c>
      <c r="E22" s="32" t="s">
        <v>320</v>
      </c>
      <c r="F22" s="34"/>
      <c r="G22" s="34"/>
      <c r="H22" s="3" t="s">
        <v>62</v>
      </c>
      <c r="I22" s="3" t="s">
        <v>336</v>
      </c>
    </row>
    <row r="23" spans="1:9">
      <c r="A23" s="12"/>
      <c r="B23" s="32">
        <v>19</v>
      </c>
      <c r="C23" s="32" t="s">
        <v>55</v>
      </c>
      <c r="D23" s="33" t="s">
        <v>63</v>
      </c>
      <c r="E23" s="32" t="s">
        <v>337</v>
      </c>
      <c r="F23" s="34"/>
      <c r="G23" s="34"/>
      <c r="H23" s="3" t="s">
        <v>64</v>
      </c>
      <c r="I23" s="3" t="s">
        <v>15</v>
      </c>
    </row>
    <row r="24" spans="1:9" ht="24">
      <c r="A24" s="12"/>
      <c r="B24" s="32">
        <v>20</v>
      </c>
      <c r="C24" s="32" t="s">
        <v>55</v>
      </c>
      <c r="D24" s="33" t="s">
        <v>338</v>
      </c>
      <c r="E24" s="32" t="s">
        <v>51</v>
      </c>
      <c r="F24" s="34">
        <v>5000</v>
      </c>
      <c r="G24" s="34">
        <v>5000</v>
      </c>
      <c r="H24" s="3" t="s">
        <v>339</v>
      </c>
      <c r="I24" s="3" t="s">
        <v>340</v>
      </c>
    </row>
    <row r="25" spans="1:9" ht="24">
      <c r="A25" s="12"/>
      <c r="B25" s="32">
        <v>21</v>
      </c>
      <c r="C25" s="32" t="s">
        <v>55</v>
      </c>
      <c r="D25" s="33" t="s">
        <v>341</v>
      </c>
      <c r="E25" s="32" t="s">
        <v>51</v>
      </c>
      <c r="F25" s="34">
        <v>2000</v>
      </c>
      <c r="G25" s="34">
        <v>2000</v>
      </c>
      <c r="H25" s="3" t="s">
        <v>342</v>
      </c>
      <c r="I25" s="3" t="s">
        <v>343</v>
      </c>
    </row>
    <row r="26" spans="1:9" ht="24">
      <c r="A26" s="12"/>
      <c r="B26" s="32">
        <v>22</v>
      </c>
      <c r="C26" s="32" t="s">
        <v>55</v>
      </c>
      <c r="D26" s="33" t="s">
        <v>65</v>
      </c>
      <c r="E26" s="32" t="s">
        <v>51</v>
      </c>
      <c r="F26" s="34">
        <v>3000</v>
      </c>
      <c r="G26" s="34">
        <v>5000</v>
      </c>
      <c r="H26" s="3" t="s">
        <v>344</v>
      </c>
      <c r="I26" s="3" t="s">
        <v>345</v>
      </c>
    </row>
    <row r="27" spans="1:9" ht="36">
      <c r="A27" s="12"/>
      <c r="B27" s="32">
        <v>23</v>
      </c>
      <c r="C27" s="32" t="s">
        <v>55</v>
      </c>
      <c r="D27" s="33" t="s">
        <v>346</v>
      </c>
      <c r="E27" s="32" t="s">
        <v>51</v>
      </c>
      <c r="F27" s="34"/>
      <c r="G27" s="34">
        <v>1000</v>
      </c>
      <c r="H27" s="3" t="s">
        <v>347</v>
      </c>
      <c r="I27" s="3" t="s">
        <v>15</v>
      </c>
    </row>
    <row r="28" spans="1:9">
      <c r="A28" s="12"/>
      <c r="B28" s="32">
        <v>24</v>
      </c>
      <c r="C28" s="32" t="s">
        <v>55</v>
      </c>
      <c r="D28" s="33" t="s">
        <v>348</v>
      </c>
      <c r="E28" s="32" t="s">
        <v>51</v>
      </c>
      <c r="F28" s="34"/>
      <c r="G28" s="34">
        <v>3000</v>
      </c>
      <c r="H28" s="3" t="s">
        <v>349</v>
      </c>
      <c r="I28" s="3" t="s">
        <v>15</v>
      </c>
    </row>
    <row r="29" spans="1:9" ht="144">
      <c r="A29" s="12"/>
      <c r="B29" s="47">
        <v>25</v>
      </c>
      <c r="C29" s="47" t="s">
        <v>55</v>
      </c>
      <c r="D29" s="48" t="s">
        <v>350</v>
      </c>
      <c r="E29" s="47" t="s">
        <v>51</v>
      </c>
      <c r="F29" s="49"/>
      <c r="G29" s="49">
        <v>3000</v>
      </c>
      <c r="H29" s="46" t="s">
        <v>351</v>
      </c>
      <c r="I29" s="46" t="s">
        <v>352</v>
      </c>
    </row>
    <row r="30" spans="1:9" ht="24">
      <c r="A30" s="12"/>
      <c r="B30" s="32">
        <v>26</v>
      </c>
      <c r="C30" s="32" t="s">
        <v>66</v>
      </c>
      <c r="D30" s="33" t="s">
        <v>67</v>
      </c>
      <c r="E30" s="32" t="s">
        <v>51</v>
      </c>
      <c r="F30" s="34"/>
      <c r="G30" s="34"/>
      <c r="H30" s="3" t="s">
        <v>353</v>
      </c>
      <c r="I30" s="3" t="s">
        <v>354</v>
      </c>
    </row>
    <row r="31" spans="1:9" ht="24">
      <c r="A31" s="12"/>
      <c r="B31" s="32">
        <v>27</v>
      </c>
      <c r="C31" s="32" t="s">
        <v>66</v>
      </c>
      <c r="D31" s="33" t="s">
        <v>68</v>
      </c>
      <c r="E31" s="32" t="s">
        <v>320</v>
      </c>
      <c r="F31" s="34"/>
      <c r="G31" s="34"/>
      <c r="H31" s="3" t="s">
        <v>355</v>
      </c>
      <c r="I31" s="3" t="s">
        <v>356</v>
      </c>
    </row>
    <row r="32" spans="1:9" ht="36">
      <c r="A32" s="12"/>
      <c r="B32" s="32">
        <v>28</v>
      </c>
      <c r="C32" s="32" t="s">
        <v>66</v>
      </c>
      <c r="D32" s="33" t="s">
        <v>69</v>
      </c>
      <c r="E32" s="32" t="s">
        <v>51</v>
      </c>
      <c r="F32" s="34"/>
      <c r="G32" s="34"/>
      <c r="H32" s="3" t="s">
        <v>357</v>
      </c>
      <c r="I32" s="3" t="s">
        <v>15</v>
      </c>
    </row>
    <row r="33" spans="1:9" ht="24">
      <c r="A33" s="12"/>
      <c r="B33" s="32">
        <v>29</v>
      </c>
      <c r="C33" s="32" t="s">
        <v>66</v>
      </c>
      <c r="D33" s="33" t="s">
        <v>70</v>
      </c>
      <c r="E33" s="32" t="s">
        <v>51</v>
      </c>
      <c r="F33" s="34">
        <v>1000</v>
      </c>
      <c r="G33" s="34">
        <v>1000</v>
      </c>
      <c r="H33" s="3" t="s">
        <v>358</v>
      </c>
      <c r="I33" s="3" t="s">
        <v>359</v>
      </c>
    </row>
    <row r="34" spans="1:9" ht="24">
      <c r="A34" s="12"/>
      <c r="B34" s="32">
        <v>30</v>
      </c>
      <c r="C34" s="32" t="s">
        <v>66</v>
      </c>
      <c r="D34" s="33" t="s">
        <v>71</v>
      </c>
      <c r="E34" s="32" t="s">
        <v>51</v>
      </c>
      <c r="F34" s="34">
        <v>1000</v>
      </c>
      <c r="G34" s="34">
        <v>1000</v>
      </c>
      <c r="H34" s="3" t="s">
        <v>360</v>
      </c>
      <c r="I34" s="3" t="s">
        <v>359</v>
      </c>
    </row>
    <row r="35" spans="1:9">
      <c r="A35" s="12"/>
      <c r="B35" s="32">
        <v>31</v>
      </c>
      <c r="C35" s="32" t="s">
        <v>66</v>
      </c>
      <c r="D35" s="33" t="s">
        <v>361</v>
      </c>
      <c r="E35" s="32" t="s">
        <v>51</v>
      </c>
      <c r="F35" s="34"/>
      <c r="G35" s="34"/>
      <c r="H35" s="3" t="s">
        <v>72</v>
      </c>
      <c r="I35" s="3" t="s">
        <v>15</v>
      </c>
    </row>
    <row r="36" spans="1:9" ht="144">
      <c r="A36" s="12"/>
      <c r="B36" s="47">
        <v>32</v>
      </c>
      <c r="C36" s="47" t="s">
        <v>66</v>
      </c>
      <c r="D36" s="48" t="s">
        <v>362</v>
      </c>
      <c r="E36" s="47" t="s">
        <v>51</v>
      </c>
      <c r="F36" s="49"/>
      <c r="G36" s="49">
        <v>2000</v>
      </c>
      <c r="H36" s="46" t="s">
        <v>363</v>
      </c>
      <c r="I36" s="46" t="s">
        <v>364</v>
      </c>
    </row>
    <row r="37" spans="1:9" ht="24">
      <c r="A37" s="12"/>
      <c r="B37" s="32">
        <v>33</v>
      </c>
      <c r="C37" s="32" t="s">
        <v>66</v>
      </c>
      <c r="D37" s="33" t="s">
        <v>365</v>
      </c>
      <c r="E37" s="32" t="s">
        <v>51</v>
      </c>
      <c r="F37" s="34"/>
      <c r="G37" s="34"/>
      <c r="H37" s="3" t="s">
        <v>366</v>
      </c>
      <c r="I37" s="3" t="s">
        <v>15</v>
      </c>
    </row>
    <row r="38" spans="1:9" ht="24">
      <c r="A38" s="12"/>
      <c r="B38" s="32">
        <v>34</v>
      </c>
      <c r="C38" s="32" t="s">
        <v>73</v>
      </c>
      <c r="D38" s="33" t="s">
        <v>367</v>
      </c>
      <c r="E38" s="32" t="s">
        <v>51</v>
      </c>
      <c r="F38" s="34">
        <v>3000</v>
      </c>
      <c r="G38" s="34">
        <v>3000</v>
      </c>
      <c r="H38" s="3" t="s">
        <v>368</v>
      </c>
      <c r="I38" s="3" t="s">
        <v>369</v>
      </c>
    </row>
    <row r="39" spans="1:9" ht="24">
      <c r="A39" s="12"/>
      <c r="B39" s="32">
        <v>35</v>
      </c>
      <c r="C39" s="32" t="s">
        <v>73</v>
      </c>
      <c r="D39" s="33" t="s">
        <v>74</v>
      </c>
      <c r="E39" s="32" t="s">
        <v>51</v>
      </c>
      <c r="F39" s="34"/>
      <c r="G39" s="34"/>
      <c r="H39" s="3" t="s">
        <v>75</v>
      </c>
      <c r="I39" s="3" t="s">
        <v>15</v>
      </c>
    </row>
    <row r="40" spans="1:9" ht="24">
      <c r="A40" s="12"/>
      <c r="B40" s="32">
        <v>36</v>
      </c>
      <c r="C40" s="32" t="s">
        <v>73</v>
      </c>
      <c r="D40" s="33" t="s">
        <v>370</v>
      </c>
      <c r="E40" s="32" t="s">
        <v>51</v>
      </c>
      <c r="F40" s="34">
        <v>3000</v>
      </c>
      <c r="G40" s="34">
        <v>3000</v>
      </c>
      <c r="H40" s="3" t="s">
        <v>371</v>
      </c>
      <c r="I40" s="3" t="s">
        <v>369</v>
      </c>
    </row>
    <row r="41" spans="1:9" ht="24">
      <c r="A41" s="12"/>
      <c r="B41" s="32">
        <v>37</v>
      </c>
      <c r="C41" s="32" t="s">
        <v>73</v>
      </c>
      <c r="D41" s="33" t="s">
        <v>372</v>
      </c>
      <c r="E41" s="32" t="s">
        <v>51</v>
      </c>
      <c r="F41" s="34">
        <v>3000</v>
      </c>
      <c r="G41" s="34"/>
      <c r="H41" s="3" t="s">
        <v>373</v>
      </c>
      <c r="I41" s="3" t="s">
        <v>369</v>
      </c>
    </row>
    <row r="42" spans="1:9" ht="24">
      <c r="A42" s="12"/>
      <c r="B42" s="32">
        <v>38</v>
      </c>
      <c r="C42" s="32" t="s">
        <v>76</v>
      </c>
      <c r="D42" s="33" t="s">
        <v>374</v>
      </c>
      <c r="E42" s="32" t="s">
        <v>51</v>
      </c>
      <c r="F42" s="34"/>
      <c r="G42" s="34">
        <v>3000</v>
      </c>
      <c r="H42" s="3" t="s">
        <v>77</v>
      </c>
      <c r="I42" s="3" t="s">
        <v>15</v>
      </c>
    </row>
    <row r="43" spans="1:9">
      <c r="A43" s="12"/>
      <c r="B43" s="32">
        <v>39</v>
      </c>
      <c r="C43" s="32" t="s">
        <v>76</v>
      </c>
      <c r="D43" s="33" t="s">
        <v>78</v>
      </c>
      <c r="E43" s="32" t="s">
        <v>51</v>
      </c>
      <c r="F43" s="34"/>
      <c r="G43" s="34"/>
      <c r="H43" s="3" t="s">
        <v>79</v>
      </c>
      <c r="I43" s="3" t="s">
        <v>15</v>
      </c>
    </row>
    <row r="44" spans="1:9" ht="24">
      <c r="A44" s="12"/>
      <c r="B44" s="32">
        <v>40</v>
      </c>
      <c r="C44" s="32" t="s">
        <v>76</v>
      </c>
      <c r="D44" s="33" t="s">
        <v>375</v>
      </c>
      <c r="E44" s="32" t="s">
        <v>51</v>
      </c>
      <c r="F44" s="34">
        <v>3000</v>
      </c>
      <c r="G44" s="34">
        <v>3000</v>
      </c>
      <c r="H44" s="3" t="s">
        <v>376</v>
      </c>
      <c r="I44" s="3" t="s">
        <v>369</v>
      </c>
    </row>
    <row r="45" spans="1:9" ht="24">
      <c r="A45" s="12"/>
      <c r="B45" s="32">
        <v>41</v>
      </c>
      <c r="C45" s="32" t="s">
        <v>76</v>
      </c>
      <c r="D45" s="33" t="s">
        <v>377</v>
      </c>
      <c r="E45" s="32" t="s">
        <v>51</v>
      </c>
      <c r="F45" s="34">
        <v>3000</v>
      </c>
      <c r="G45" s="34"/>
      <c r="H45" s="3" t="s">
        <v>378</v>
      </c>
      <c r="I45" s="3" t="s">
        <v>369</v>
      </c>
    </row>
    <row r="46" spans="1:9" ht="24">
      <c r="A46" s="12"/>
      <c r="B46" s="32">
        <v>42</v>
      </c>
      <c r="C46" s="32" t="s">
        <v>80</v>
      </c>
      <c r="D46" s="33" t="s">
        <v>81</v>
      </c>
      <c r="E46" s="32" t="s">
        <v>51</v>
      </c>
      <c r="F46" s="34">
        <v>100</v>
      </c>
      <c r="G46" s="34"/>
      <c r="H46" s="3" t="s">
        <v>379</v>
      </c>
      <c r="I46" s="3" t="s">
        <v>380</v>
      </c>
    </row>
    <row r="47" spans="1:9">
      <c r="A47" s="12"/>
      <c r="B47" s="32">
        <v>43</v>
      </c>
      <c r="C47" s="32" t="s">
        <v>80</v>
      </c>
      <c r="D47" s="33" t="s">
        <v>82</v>
      </c>
      <c r="E47" s="32" t="s">
        <v>51</v>
      </c>
      <c r="F47" s="34"/>
      <c r="G47" s="34"/>
      <c r="H47" s="3" t="s">
        <v>381</v>
      </c>
      <c r="I47" s="3" t="s">
        <v>382</v>
      </c>
    </row>
    <row r="48" spans="1:9">
      <c r="A48" s="12"/>
      <c r="B48" s="32">
        <v>44</v>
      </c>
      <c r="C48" s="32" t="s">
        <v>80</v>
      </c>
      <c r="D48" s="33" t="s">
        <v>383</v>
      </c>
      <c r="E48" s="32" t="s">
        <v>51</v>
      </c>
      <c r="F48" s="34"/>
      <c r="G48" s="34"/>
      <c r="H48" s="3" t="s">
        <v>384</v>
      </c>
      <c r="I48" s="3" t="s">
        <v>385</v>
      </c>
    </row>
    <row r="49" spans="1:9" ht="48">
      <c r="A49" s="12"/>
      <c r="B49" s="32">
        <v>45</v>
      </c>
      <c r="C49" s="32" t="s">
        <v>80</v>
      </c>
      <c r="D49" s="33" t="s">
        <v>386</v>
      </c>
      <c r="E49" s="32" t="s">
        <v>51</v>
      </c>
      <c r="F49" s="34"/>
      <c r="G49" s="34"/>
      <c r="H49" s="3" t="s">
        <v>387</v>
      </c>
      <c r="I49" s="3" t="s">
        <v>388</v>
      </c>
    </row>
    <row r="50" spans="1:9" ht="24">
      <c r="A50" s="12"/>
      <c r="B50" s="32">
        <v>46</v>
      </c>
      <c r="C50" s="32" t="s">
        <v>80</v>
      </c>
      <c r="D50" s="33" t="s">
        <v>389</v>
      </c>
      <c r="E50" s="32" t="s">
        <v>51</v>
      </c>
      <c r="F50" s="34"/>
      <c r="G50" s="34"/>
      <c r="H50" s="3" t="s">
        <v>83</v>
      </c>
      <c r="I50" s="3" t="s">
        <v>390</v>
      </c>
    </row>
    <row r="51" spans="1:9" ht="24">
      <c r="A51" s="12"/>
      <c r="B51" s="32">
        <v>47</v>
      </c>
      <c r="C51" s="32" t="s">
        <v>80</v>
      </c>
      <c r="D51" s="33" t="s">
        <v>391</v>
      </c>
      <c r="E51" s="32" t="s">
        <v>320</v>
      </c>
      <c r="F51" s="34"/>
      <c r="G51" s="34"/>
      <c r="H51" s="3" t="s">
        <v>392</v>
      </c>
      <c r="I51" s="3" t="s">
        <v>15</v>
      </c>
    </row>
    <row r="52" spans="1:9" ht="24">
      <c r="A52" s="12"/>
      <c r="B52" s="32">
        <v>48</v>
      </c>
      <c r="C52" s="32" t="s">
        <v>80</v>
      </c>
      <c r="D52" s="33" t="s">
        <v>393</v>
      </c>
      <c r="E52" s="32" t="s">
        <v>51</v>
      </c>
      <c r="F52" s="34"/>
      <c r="G52" s="34"/>
      <c r="H52" s="3" t="s">
        <v>394</v>
      </c>
      <c r="I52" s="3" t="s">
        <v>15</v>
      </c>
    </row>
    <row r="53" spans="1:9" ht="60">
      <c r="A53" s="12"/>
      <c r="B53" s="32">
        <v>49</v>
      </c>
      <c r="C53" s="32" t="s">
        <v>80</v>
      </c>
      <c r="D53" s="33" t="s">
        <v>395</v>
      </c>
      <c r="E53" s="32" t="s">
        <v>51</v>
      </c>
      <c r="F53" s="34"/>
      <c r="G53" s="34"/>
      <c r="H53" s="3" t="s">
        <v>396</v>
      </c>
      <c r="I53" s="3" t="s">
        <v>397</v>
      </c>
    </row>
    <row r="54" spans="1:9" ht="36">
      <c r="A54" s="12"/>
      <c r="B54" s="32">
        <v>50</v>
      </c>
      <c r="C54" s="32" t="s">
        <v>80</v>
      </c>
      <c r="D54" s="33" t="s">
        <v>84</v>
      </c>
      <c r="E54" s="32" t="s">
        <v>51</v>
      </c>
      <c r="F54" s="34"/>
      <c r="G54" s="34"/>
      <c r="H54" s="3" t="s">
        <v>398</v>
      </c>
      <c r="I54" s="3" t="s">
        <v>399</v>
      </c>
    </row>
    <row r="55" spans="1:9" ht="36">
      <c r="A55" s="12"/>
      <c r="B55" s="32">
        <v>51</v>
      </c>
      <c r="C55" s="32" t="s">
        <v>85</v>
      </c>
      <c r="D55" s="33" t="s">
        <v>400</v>
      </c>
      <c r="E55" s="32" t="s">
        <v>320</v>
      </c>
      <c r="F55" s="34">
        <v>25</v>
      </c>
      <c r="G55" s="34">
        <v>10</v>
      </c>
      <c r="H55" s="3" t="s">
        <v>401</v>
      </c>
      <c r="I55" s="3" t="s">
        <v>402</v>
      </c>
    </row>
    <row r="56" spans="1:9">
      <c r="A56" s="12"/>
      <c r="B56" s="32">
        <v>52</v>
      </c>
      <c r="C56" s="32" t="s">
        <v>85</v>
      </c>
      <c r="D56" s="33" t="s">
        <v>403</v>
      </c>
      <c r="E56" s="32" t="s">
        <v>320</v>
      </c>
      <c r="F56" s="34">
        <v>25</v>
      </c>
      <c r="G56" s="34">
        <v>10</v>
      </c>
      <c r="H56" s="3" t="s">
        <v>404</v>
      </c>
      <c r="I56" s="3" t="s">
        <v>402</v>
      </c>
    </row>
    <row r="57" spans="1:9" ht="24">
      <c r="A57" s="12"/>
      <c r="B57" s="32">
        <v>53</v>
      </c>
      <c r="C57" s="32" t="s">
        <v>85</v>
      </c>
      <c r="D57" s="33" t="s">
        <v>405</v>
      </c>
      <c r="E57" s="32" t="s">
        <v>51</v>
      </c>
      <c r="F57" s="34">
        <v>3000</v>
      </c>
      <c r="G57" s="34">
        <v>3000</v>
      </c>
      <c r="H57" s="3" t="s">
        <v>406</v>
      </c>
      <c r="I57" s="3" t="s">
        <v>369</v>
      </c>
    </row>
    <row r="58" spans="1:9" ht="48">
      <c r="A58" s="12"/>
      <c r="B58" s="32">
        <v>54</v>
      </c>
      <c r="C58" s="32" t="s">
        <v>85</v>
      </c>
      <c r="D58" s="33" t="s">
        <v>407</v>
      </c>
      <c r="E58" s="32" t="s">
        <v>51</v>
      </c>
      <c r="F58" s="34">
        <v>10000</v>
      </c>
      <c r="G58" s="34">
        <v>1000</v>
      </c>
      <c r="H58" s="3" t="s">
        <v>408</v>
      </c>
      <c r="I58" s="3" t="s">
        <v>409</v>
      </c>
    </row>
    <row r="59" spans="1:9">
      <c r="A59" s="12"/>
      <c r="B59" s="32">
        <v>55</v>
      </c>
      <c r="C59" s="32" t="s">
        <v>86</v>
      </c>
      <c r="D59" s="33" t="s">
        <v>410</v>
      </c>
      <c r="E59" s="32" t="s">
        <v>51</v>
      </c>
      <c r="F59" s="34">
        <v>10000</v>
      </c>
      <c r="G59" s="34"/>
      <c r="H59" s="3" t="s">
        <v>411</v>
      </c>
      <c r="I59" s="3" t="s">
        <v>412</v>
      </c>
    </row>
    <row r="60" spans="1:9" ht="24">
      <c r="A60" s="12"/>
      <c r="B60" s="32">
        <v>56</v>
      </c>
      <c r="C60" s="32" t="s">
        <v>86</v>
      </c>
      <c r="D60" s="33" t="s">
        <v>413</v>
      </c>
      <c r="E60" s="32" t="s">
        <v>51</v>
      </c>
      <c r="F60" s="34">
        <v>10000</v>
      </c>
      <c r="G60" s="34"/>
      <c r="H60" s="3" t="s">
        <v>414</v>
      </c>
      <c r="I60" s="3" t="s">
        <v>415</v>
      </c>
    </row>
    <row r="61" spans="1:9" ht="24">
      <c r="A61" s="12"/>
      <c r="B61" s="32">
        <v>57</v>
      </c>
      <c r="C61" s="32" t="s">
        <v>86</v>
      </c>
      <c r="D61" s="33" t="s">
        <v>87</v>
      </c>
      <c r="E61" s="32" t="s">
        <v>51</v>
      </c>
      <c r="F61" s="34"/>
      <c r="G61" s="34"/>
      <c r="H61" s="3" t="s">
        <v>416</v>
      </c>
      <c r="I61" s="3" t="s">
        <v>15</v>
      </c>
    </row>
    <row r="62" spans="1:9">
      <c r="A62" s="12"/>
      <c r="B62" s="32">
        <v>58</v>
      </c>
      <c r="C62" s="32" t="s">
        <v>86</v>
      </c>
      <c r="D62" s="33" t="s">
        <v>88</v>
      </c>
      <c r="E62" s="32" t="s">
        <v>417</v>
      </c>
      <c r="F62" s="34"/>
      <c r="G62" s="34"/>
      <c r="H62" s="3" t="s">
        <v>89</v>
      </c>
      <c r="I62" s="3" t="s">
        <v>15</v>
      </c>
    </row>
    <row r="63" spans="1:9" ht="72">
      <c r="A63" s="12"/>
      <c r="B63" s="32">
        <v>59</v>
      </c>
      <c r="C63" s="32" t="s">
        <v>90</v>
      </c>
      <c r="D63" s="33" t="s">
        <v>91</v>
      </c>
      <c r="E63" s="32" t="s">
        <v>51</v>
      </c>
      <c r="F63" s="34">
        <v>5000</v>
      </c>
      <c r="G63" s="34"/>
      <c r="H63" s="3" t="s">
        <v>418</v>
      </c>
      <c r="I63" s="3" t="s">
        <v>419</v>
      </c>
    </row>
    <row r="64" spans="1:9" ht="36">
      <c r="A64" s="12"/>
      <c r="B64" s="32">
        <v>60</v>
      </c>
      <c r="C64" s="32" t="s">
        <v>90</v>
      </c>
      <c r="D64" s="33" t="s">
        <v>92</v>
      </c>
      <c r="E64" s="32" t="s">
        <v>51</v>
      </c>
      <c r="F64" s="34">
        <v>30</v>
      </c>
      <c r="G64" s="34"/>
      <c r="H64" s="3" t="s">
        <v>420</v>
      </c>
      <c r="I64" s="3" t="s">
        <v>421</v>
      </c>
    </row>
    <row r="65" spans="1:9" ht="24">
      <c r="A65" s="12"/>
      <c r="B65" s="32">
        <v>61</v>
      </c>
      <c r="C65" s="32" t="s">
        <v>90</v>
      </c>
      <c r="D65" s="33" t="s">
        <v>93</v>
      </c>
      <c r="E65" s="32" t="s">
        <v>51</v>
      </c>
      <c r="F65" s="34">
        <v>5000</v>
      </c>
      <c r="G65" s="34"/>
      <c r="H65" s="3" t="s">
        <v>422</v>
      </c>
      <c r="I65" s="3" t="s">
        <v>423</v>
      </c>
    </row>
    <row r="66" spans="1:9" ht="24">
      <c r="A66" s="12"/>
      <c r="B66" s="32">
        <v>62</v>
      </c>
      <c r="C66" s="32" t="s">
        <v>90</v>
      </c>
      <c r="D66" s="33" t="s">
        <v>94</v>
      </c>
      <c r="E66" s="32" t="s">
        <v>51</v>
      </c>
      <c r="F66" s="34">
        <v>30</v>
      </c>
      <c r="G66" s="34"/>
      <c r="H66" s="3" t="s">
        <v>95</v>
      </c>
      <c r="I66" s="3" t="s">
        <v>421</v>
      </c>
    </row>
    <row r="67" spans="1:9" ht="48">
      <c r="A67" s="12"/>
      <c r="B67" s="32">
        <v>63</v>
      </c>
      <c r="C67" s="32" t="s">
        <v>90</v>
      </c>
      <c r="D67" s="33" t="s">
        <v>424</v>
      </c>
      <c r="E67" s="32" t="s">
        <v>51</v>
      </c>
      <c r="F67" s="34">
        <v>350</v>
      </c>
      <c r="G67" s="34"/>
      <c r="H67" s="3" t="s">
        <v>425</v>
      </c>
      <c r="I67" s="3" t="s">
        <v>426</v>
      </c>
    </row>
    <row r="68" spans="1:9" ht="36">
      <c r="A68" s="12"/>
      <c r="B68" s="32">
        <v>64</v>
      </c>
      <c r="C68" s="32" t="s">
        <v>96</v>
      </c>
      <c r="D68" s="33" t="s">
        <v>427</v>
      </c>
      <c r="E68" s="32" t="s">
        <v>51</v>
      </c>
      <c r="F68" s="34">
        <v>3000</v>
      </c>
      <c r="G68" s="34">
        <v>3000</v>
      </c>
      <c r="H68" s="3" t="s">
        <v>428</v>
      </c>
      <c r="I68" s="3" t="s">
        <v>429</v>
      </c>
    </row>
    <row r="69" spans="1:9" ht="36">
      <c r="A69" s="12"/>
      <c r="B69" s="32">
        <v>65</v>
      </c>
      <c r="C69" s="32" t="s">
        <v>96</v>
      </c>
      <c r="D69" s="33" t="s">
        <v>97</v>
      </c>
      <c r="E69" s="32" t="s">
        <v>51</v>
      </c>
      <c r="F69" s="34">
        <v>20000</v>
      </c>
      <c r="G69" s="34">
        <v>20000</v>
      </c>
      <c r="H69" s="3" t="s">
        <v>430</v>
      </c>
      <c r="I69" s="3" t="s">
        <v>431</v>
      </c>
    </row>
    <row r="70" spans="1:9" ht="24">
      <c r="A70" s="12"/>
      <c r="B70" s="32">
        <v>66</v>
      </c>
      <c r="C70" s="32" t="s">
        <v>96</v>
      </c>
      <c r="D70" s="33" t="s">
        <v>98</v>
      </c>
      <c r="E70" s="32" t="s">
        <v>51</v>
      </c>
      <c r="F70" s="34">
        <v>5000</v>
      </c>
      <c r="G70" s="34">
        <v>1500</v>
      </c>
      <c r="H70" s="3" t="s">
        <v>432</v>
      </c>
      <c r="I70" s="3" t="s">
        <v>433</v>
      </c>
    </row>
    <row r="71" spans="1:9" ht="24">
      <c r="A71" s="12"/>
      <c r="B71" s="32">
        <v>67</v>
      </c>
      <c r="C71" s="32" t="s">
        <v>96</v>
      </c>
      <c r="D71" s="33" t="s">
        <v>99</v>
      </c>
      <c r="E71" s="32" t="s">
        <v>51</v>
      </c>
      <c r="F71" s="34">
        <v>30</v>
      </c>
      <c r="G71" s="34"/>
      <c r="H71" s="3" t="s">
        <v>434</v>
      </c>
      <c r="I71" s="3" t="s">
        <v>435</v>
      </c>
    </row>
    <row r="72" spans="1:9">
      <c r="A72" s="12"/>
      <c r="B72" s="32">
        <v>68</v>
      </c>
      <c r="C72" s="32" t="s">
        <v>96</v>
      </c>
      <c r="D72" s="33" t="s">
        <v>100</v>
      </c>
      <c r="E72" s="32" t="s">
        <v>51</v>
      </c>
      <c r="F72" s="34"/>
      <c r="G72" s="34"/>
      <c r="H72" s="3" t="s">
        <v>436</v>
      </c>
      <c r="I72" s="3" t="s">
        <v>437</v>
      </c>
    </row>
    <row r="73" spans="1:9">
      <c r="A73" s="12"/>
      <c r="B73" s="32">
        <v>69</v>
      </c>
      <c r="C73" s="32" t="s">
        <v>96</v>
      </c>
      <c r="D73" s="33" t="s">
        <v>101</v>
      </c>
      <c r="E73" s="32" t="s">
        <v>320</v>
      </c>
      <c r="F73" s="34"/>
      <c r="G73" s="34"/>
      <c r="H73" s="3" t="s">
        <v>438</v>
      </c>
      <c r="I73" s="3" t="s">
        <v>439</v>
      </c>
    </row>
    <row r="74" spans="1:9">
      <c r="A74" s="12"/>
      <c r="B74" s="32">
        <v>70</v>
      </c>
      <c r="C74" s="32" t="s">
        <v>96</v>
      </c>
      <c r="D74" s="33" t="s">
        <v>102</v>
      </c>
      <c r="E74" s="32" t="s">
        <v>51</v>
      </c>
      <c r="F74" s="34"/>
      <c r="G74" s="34"/>
      <c r="H74" s="3" t="s">
        <v>103</v>
      </c>
      <c r="I74" s="3" t="s">
        <v>440</v>
      </c>
    </row>
    <row r="75" spans="1:9" ht="36">
      <c r="A75" s="12"/>
      <c r="B75" s="32">
        <v>71</v>
      </c>
      <c r="C75" s="32" t="s">
        <v>96</v>
      </c>
      <c r="D75" s="33" t="s">
        <v>104</v>
      </c>
      <c r="E75" s="32" t="s">
        <v>51</v>
      </c>
      <c r="F75" s="34">
        <v>200</v>
      </c>
      <c r="G75" s="34"/>
      <c r="H75" s="3" t="s">
        <v>441</v>
      </c>
      <c r="I75" s="3" t="s">
        <v>442</v>
      </c>
    </row>
    <row r="76" spans="1:9" ht="24">
      <c r="A76" s="12"/>
      <c r="B76" s="32">
        <v>72</v>
      </c>
      <c r="C76" s="32" t="s">
        <v>105</v>
      </c>
      <c r="D76" s="33" t="s">
        <v>443</v>
      </c>
      <c r="E76" s="32" t="s">
        <v>51</v>
      </c>
      <c r="F76" s="34">
        <v>10000</v>
      </c>
      <c r="G76" s="34"/>
      <c r="H76" s="3" t="s">
        <v>444</v>
      </c>
      <c r="I76" s="3" t="s">
        <v>445</v>
      </c>
    </row>
    <row r="77" spans="1:9">
      <c r="A77" s="12"/>
      <c r="B77" s="32">
        <v>73</v>
      </c>
      <c r="C77" s="32" t="s">
        <v>105</v>
      </c>
      <c r="D77" s="33" t="s">
        <v>106</v>
      </c>
      <c r="E77" s="32" t="s">
        <v>51</v>
      </c>
      <c r="F77" s="34">
        <v>2000</v>
      </c>
      <c r="G77" s="34"/>
      <c r="H77" s="3" t="s">
        <v>446</v>
      </c>
      <c r="I77" s="3" t="s">
        <v>447</v>
      </c>
    </row>
    <row r="78" spans="1:9" ht="24">
      <c r="A78" s="12"/>
      <c r="B78" s="32">
        <v>74</v>
      </c>
      <c r="C78" s="32" t="s">
        <v>107</v>
      </c>
      <c r="D78" s="33" t="s">
        <v>448</v>
      </c>
      <c r="E78" s="32" t="s">
        <v>51</v>
      </c>
      <c r="F78" s="34"/>
      <c r="G78" s="34"/>
      <c r="H78" s="3" t="s">
        <v>449</v>
      </c>
      <c r="I78" s="3" t="s">
        <v>450</v>
      </c>
    </row>
    <row r="79" spans="1:9" ht="36">
      <c r="A79" s="12"/>
      <c r="B79" s="32">
        <v>75</v>
      </c>
      <c r="C79" s="32" t="s">
        <v>107</v>
      </c>
      <c r="D79" s="33" t="s">
        <v>108</v>
      </c>
      <c r="E79" s="32" t="s">
        <v>51</v>
      </c>
      <c r="F79" s="34"/>
      <c r="G79" s="34"/>
      <c r="H79" s="3" t="s">
        <v>451</v>
      </c>
      <c r="I79" s="3" t="s">
        <v>452</v>
      </c>
    </row>
    <row r="80" spans="1:9">
      <c r="A80" s="12"/>
      <c r="B80" s="32">
        <v>76</v>
      </c>
      <c r="C80" s="50" t="s">
        <v>453</v>
      </c>
      <c r="D80" s="51" t="s">
        <v>109</v>
      </c>
      <c r="E80" s="50" t="s">
        <v>51</v>
      </c>
      <c r="F80" s="52"/>
      <c r="G80" s="52"/>
      <c r="H80" s="3"/>
      <c r="I80" s="3"/>
    </row>
    <row r="81" spans="1:9">
      <c r="A81" s="12"/>
      <c r="B81" s="39"/>
      <c r="C81" s="39"/>
      <c r="D81" s="39"/>
      <c r="E81" s="39"/>
      <c r="F81" s="39"/>
      <c r="G81" s="39"/>
      <c r="H81" s="12"/>
      <c r="I81" s="12"/>
    </row>
    <row r="82" spans="1:9">
      <c r="A82" s="12"/>
      <c r="B82" s="39"/>
      <c r="C82" s="75" t="s">
        <v>454</v>
      </c>
      <c r="D82" s="75"/>
      <c r="E82" s="75"/>
      <c r="F82" s="75"/>
      <c r="G82" s="75"/>
      <c r="H82" s="76"/>
      <c r="I82" s="76"/>
    </row>
  </sheetData>
  <mergeCells count="3">
    <mergeCell ref="A1:I1"/>
    <mergeCell ref="A2:I2"/>
    <mergeCell ref="C82:I82"/>
  </mergeCells>
  <phoneticPr fontId="13" type="noConversion"/>
  <printOptions horizontalCentered="1"/>
  <pageMargins left="0.75" right="0.75" top="1" bottom="1" header="0.511811023622047" footer="0.511811023622047"/>
  <pageSetup paperSize="9" scale="88" fitToHeight="0" orientation="landscape" horizontalDpi="300" verticalDpi="300" r:id="rId1"/>
  <rowBreaks count="1" manualBreakCount="1">
    <brk id="62"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70"/>
  <sheetViews>
    <sheetView showGridLines="0" zoomScaleNormal="100" workbookViewId="0">
      <pane xSplit="4" ySplit="4" topLeftCell="E26" activePane="bottomRight" state="frozen"/>
      <selection pane="topRight" activeCell="E1" sqref="E1"/>
      <selection pane="bottomLeft" activeCell="A5" sqref="A5"/>
      <selection pane="bottomRight" sqref="A1:I1"/>
    </sheetView>
  </sheetViews>
  <sheetFormatPr defaultColWidth="8.7109375" defaultRowHeight="15"/>
  <cols>
    <col min="1" max="1" width="2.28515625" customWidth="1"/>
    <col min="2" max="2" width="8" customWidth="1"/>
    <col min="3" max="3" width="22.85546875" customWidth="1"/>
    <col min="4" max="4" width="8" customWidth="1"/>
    <col min="5" max="5" width="31.42578125" customWidth="1"/>
    <col min="6" max="6" width="26.7109375" customWidth="1"/>
    <col min="7" max="7" width="11" customWidth="1"/>
    <col min="8" max="8" width="8" customWidth="1"/>
    <col min="9" max="9" width="22.85546875" customWidth="1"/>
  </cols>
  <sheetData>
    <row r="1" spans="1:9" ht="26.25">
      <c r="A1" s="66" t="s">
        <v>455</v>
      </c>
      <c r="B1" s="66"/>
      <c r="C1" s="66"/>
      <c r="D1" s="66"/>
      <c r="E1" s="66"/>
      <c r="F1" s="66"/>
      <c r="G1" s="66"/>
      <c r="H1" s="66"/>
      <c r="I1" s="66"/>
    </row>
    <row r="2" spans="1:9">
      <c r="A2" s="67" t="s">
        <v>456</v>
      </c>
      <c r="B2" s="67"/>
      <c r="C2" s="67"/>
      <c r="D2" s="67"/>
      <c r="E2" s="67"/>
      <c r="F2" s="67"/>
      <c r="G2" s="67"/>
      <c r="H2" s="67"/>
      <c r="I2" s="67"/>
    </row>
    <row r="3" spans="1:9">
      <c r="A3" s="12"/>
      <c r="B3" s="12"/>
      <c r="C3" s="12"/>
      <c r="D3" s="12"/>
      <c r="E3" s="12"/>
      <c r="F3" s="12"/>
      <c r="G3" s="12"/>
      <c r="H3" s="12"/>
      <c r="I3" s="12"/>
    </row>
    <row r="4" spans="1:9" ht="24">
      <c r="A4" s="7"/>
      <c r="B4" s="7" t="s">
        <v>457</v>
      </c>
      <c r="C4" s="7" t="s">
        <v>110</v>
      </c>
      <c r="D4" s="7" t="s">
        <v>12</v>
      </c>
      <c r="E4" s="7" t="s">
        <v>111</v>
      </c>
      <c r="F4" s="7" t="s">
        <v>458</v>
      </c>
      <c r="G4" s="7" t="s">
        <v>112</v>
      </c>
      <c r="H4" s="7" t="s">
        <v>41</v>
      </c>
      <c r="I4" s="7" t="s">
        <v>113</v>
      </c>
    </row>
    <row r="5" spans="1:9">
      <c r="A5" s="12"/>
      <c r="B5" s="32">
        <v>1</v>
      </c>
      <c r="C5" s="53" t="s">
        <v>258</v>
      </c>
      <c r="D5" s="32" t="s">
        <v>114</v>
      </c>
      <c r="E5" s="53" t="s">
        <v>115</v>
      </c>
      <c r="F5" s="33" t="s">
        <v>303</v>
      </c>
      <c r="G5" s="34">
        <v>1000</v>
      </c>
      <c r="H5" s="32" t="s">
        <v>51</v>
      </c>
      <c r="I5" s="3"/>
    </row>
    <row r="6" spans="1:9">
      <c r="A6" s="12"/>
      <c r="B6" s="32">
        <v>1</v>
      </c>
      <c r="C6" s="53" t="s">
        <v>258</v>
      </c>
      <c r="D6" s="32" t="s">
        <v>114</v>
      </c>
      <c r="E6" s="53" t="s">
        <v>116</v>
      </c>
      <c r="F6" s="33" t="s">
        <v>303</v>
      </c>
      <c r="G6" s="34">
        <v>15000</v>
      </c>
      <c r="H6" s="32" t="s">
        <v>51</v>
      </c>
      <c r="I6" s="3"/>
    </row>
    <row r="7" spans="1:9">
      <c r="A7" s="12"/>
      <c r="B7" s="32">
        <v>1</v>
      </c>
      <c r="C7" s="53" t="s">
        <v>258</v>
      </c>
      <c r="D7" s="32" t="s">
        <v>114</v>
      </c>
      <c r="E7" s="53" t="s">
        <v>115</v>
      </c>
      <c r="F7" s="33" t="s">
        <v>413</v>
      </c>
      <c r="G7" s="34">
        <v>1000</v>
      </c>
      <c r="H7" s="32" t="s">
        <v>51</v>
      </c>
      <c r="I7" s="3" t="s">
        <v>117</v>
      </c>
    </row>
    <row r="8" spans="1:9">
      <c r="A8" s="12"/>
      <c r="B8" s="32">
        <v>1</v>
      </c>
      <c r="C8" s="53" t="s">
        <v>258</v>
      </c>
      <c r="D8" s="32" t="s">
        <v>114</v>
      </c>
      <c r="E8" s="53" t="s">
        <v>116</v>
      </c>
      <c r="F8" s="33" t="s">
        <v>413</v>
      </c>
      <c r="G8" s="34">
        <v>15000</v>
      </c>
      <c r="H8" s="32" t="s">
        <v>51</v>
      </c>
      <c r="I8" s="3" t="s">
        <v>117</v>
      </c>
    </row>
    <row r="9" spans="1:9">
      <c r="A9" s="12"/>
      <c r="B9" s="32">
        <v>1</v>
      </c>
      <c r="C9" s="53" t="s">
        <v>258</v>
      </c>
      <c r="D9" s="32" t="s">
        <v>114</v>
      </c>
      <c r="E9" s="53" t="s">
        <v>118</v>
      </c>
      <c r="F9" s="33" t="s">
        <v>59</v>
      </c>
      <c r="G9" s="34">
        <v>1000</v>
      </c>
      <c r="H9" s="32" t="s">
        <v>51</v>
      </c>
      <c r="I9" s="3" t="s">
        <v>459</v>
      </c>
    </row>
    <row r="10" spans="1:9">
      <c r="A10" s="12"/>
      <c r="B10" s="32">
        <v>1</v>
      </c>
      <c r="C10" s="53" t="s">
        <v>258</v>
      </c>
      <c r="D10" s="32" t="s">
        <v>114</v>
      </c>
      <c r="E10" s="53" t="s">
        <v>460</v>
      </c>
      <c r="F10" s="33" t="s">
        <v>81</v>
      </c>
      <c r="G10" s="34">
        <v>30</v>
      </c>
      <c r="H10" s="32" t="s">
        <v>51</v>
      </c>
      <c r="I10" s="3"/>
    </row>
    <row r="11" spans="1:9">
      <c r="A11" s="12"/>
      <c r="B11" s="32">
        <v>1</v>
      </c>
      <c r="C11" s="53" t="s">
        <v>258</v>
      </c>
      <c r="D11" s="32" t="s">
        <v>114</v>
      </c>
      <c r="E11" s="53" t="s">
        <v>119</v>
      </c>
      <c r="F11" s="33" t="s">
        <v>82</v>
      </c>
      <c r="G11" s="34">
        <v>50</v>
      </c>
      <c r="H11" s="32" t="s">
        <v>51</v>
      </c>
      <c r="I11" s="3"/>
    </row>
    <row r="12" spans="1:9">
      <c r="A12" s="12"/>
      <c r="B12" s="32">
        <v>1</v>
      </c>
      <c r="C12" s="53" t="s">
        <v>258</v>
      </c>
      <c r="D12" s="32" t="s">
        <v>114</v>
      </c>
      <c r="E12" s="53" t="s">
        <v>461</v>
      </c>
      <c r="F12" s="33" t="s">
        <v>310</v>
      </c>
      <c r="G12" s="34">
        <v>100</v>
      </c>
      <c r="H12" s="32" t="s">
        <v>51</v>
      </c>
      <c r="I12" s="3" t="s">
        <v>462</v>
      </c>
    </row>
    <row r="13" spans="1:9">
      <c r="A13" s="12"/>
      <c r="B13" s="32">
        <v>1</v>
      </c>
      <c r="C13" s="53" t="s">
        <v>258</v>
      </c>
      <c r="D13" s="32" t="s">
        <v>114</v>
      </c>
      <c r="E13" s="53" t="s">
        <v>120</v>
      </c>
      <c r="F13" s="33" t="s">
        <v>60</v>
      </c>
      <c r="G13" s="34">
        <v>100</v>
      </c>
      <c r="H13" s="32" t="s">
        <v>51</v>
      </c>
      <c r="I13" s="3"/>
    </row>
    <row r="14" spans="1:9">
      <c r="A14" s="12"/>
      <c r="B14" s="32">
        <v>1</v>
      </c>
      <c r="C14" s="53" t="s">
        <v>258</v>
      </c>
      <c r="D14" s="32" t="s">
        <v>114</v>
      </c>
      <c r="E14" s="53" t="s">
        <v>121</v>
      </c>
      <c r="F14" s="33" t="s">
        <v>383</v>
      </c>
      <c r="G14" s="34">
        <v>60</v>
      </c>
      <c r="H14" s="32" t="s">
        <v>51</v>
      </c>
      <c r="I14" s="3"/>
    </row>
    <row r="15" spans="1:9">
      <c r="A15" s="12"/>
      <c r="B15" s="32">
        <v>1</v>
      </c>
      <c r="C15" s="53" t="s">
        <v>258</v>
      </c>
      <c r="D15" s="32" t="s">
        <v>114</v>
      </c>
      <c r="E15" s="53" t="s">
        <v>122</v>
      </c>
      <c r="F15" s="33" t="s">
        <v>383</v>
      </c>
      <c r="G15" s="34">
        <v>100</v>
      </c>
      <c r="H15" s="32" t="s">
        <v>51</v>
      </c>
      <c r="I15" s="3"/>
    </row>
    <row r="16" spans="1:9">
      <c r="A16" s="12"/>
      <c r="B16" s="32">
        <v>1</v>
      </c>
      <c r="C16" s="53" t="s">
        <v>258</v>
      </c>
      <c r="D16" s="32" t="s">
        <v>114</v>
      </c>
      <c r="E16" s="53" t="s">
        <v>463</v>
      </c>
      <c r="F16" s="33" t="s">
        <v>319</v>
      </c>
      <c r="G16" s="34">
        <v>2</v>
      </c>
      <c r="H16" s="32" t="s">
        <v>320</v>
      </c>
      <c r="I16" s="3" t="s">
        <v>464</v>
      </c>
    </row>
    <row r="17" spans="1:9">
      <c r="A17" s="12"/>
      <c r="B17" s="32">
        <v>1</v>
      </c>
      <c r="C17" s="53" t="s">
        <v>258</v>
      </c>
      <c r="D17" s="32" t="s">
        <v>114</v>
      </c>
      <c r="E17" s="53" t="s">
        <v>465</v>
      </c>
      <c r="F17" s="33" t="s">
        <v>323</v>
      </c>
      <c r="G17" s="34">
        <v>1</v>
      </c>
      <c r="H17" s="32" t="s">
        <v>320</v>
      </c>
      <c r="I17" s="3"/>
    </row>
    <row r="18" spans="1:9">
      <c r="A18" s="12"/>
      <c r="B18" s="32">
        <v>1</v>
      </c>
      <c r="C18" s="53" t="s">
        <v>258</v>
      </c>
      <c r="D18" s="32" t="s">
        <v>114</v>
      </c>
      <c r="E18" s="53" t="s">
        <v>466</v>
      </c>
      <c r="F18" s="33" t="s">
        <v>323</v>
      </c>
      <c r="G18" s="34">
        <v>1</v>
      </c>
      <c r="H18" s="32" t="s">
        <v>320</v>
      </c>
      <c r="I18" s="3"/>
    </row>
    <row r="19" spans="1:9">
      <c r="A19" s="12"/>
      <c r="B19" s="32">
        <v>1</v>
      </c>
      <c r="C19" s="53" t="s">
        <v>258</v>
      </c>
      <c r="D19" s="32" t="s">
        <v>114</v>
      </c>
      <c r="E19" s="53" t="s">
        <v>123</v>
      </c>
      <c r="F19" s="33" t="s">
        <v>61</v>
      </c>
      <c r="G19" s="34">
        <v>5</v>
      </c>
      <c r="H19" s="32" t="s">
        <v>320</v>
      </c>
      <c r="I19" s="3"/>
    </row>
    <row r="20" spans="1:9">
      <c r="A20" s="12"/>
      <c r="B20" s="32">
        <v>1</v>
      </c>
      <c r="C20" s="53" t="s">
        <v>258</v>
      </c>
      <c r="D20" s="32" t="s">
        <v>114</v>
      </c>
      <c r="E20" s="53" t="s">
        <v>467</v>
      </c>
      <c r="F20" s="33" t="s">
        <v>326</v>
      </c>
      <c r="G20" s="34">
        <v>2</v>
      </c>
      <c r="H20" s="32" t="s">
        <v>320</v>
      </c>
      <c r="I20" s="3" t="s">
        <v>464</v>
      </c>
    </row>
    <row r="21" spans="1:9">
      <c r="A21" s="12"/>
      <c r="B21" s="32">
        <v>1</v>
      </c>
      <c r="C21" s="53" t="s">
        <v>258</v>
      </c>
      <c r="D21" s="32" t="s">
        <v>114</v>
      </c>
      <c r="E21" s="53" t="s">
        <v>468</v>
      </c>
      <c r="F21" s="33" t="s">
        <v>99</v>
      </c>
      <c r="G21" s="34">
        <v>10</v>
      </c>
      <c r="H21" s="32" t="s">
        <v>51</v>
      </c>
      <c r="I21" s="3" t="s">
        <v>124</v>
      </c>
    </row>
    <row r="22" spans="1:9">
      <c r="A22" s="12"/>
      <c r="B22" s="54">
        <v>1</v>
      </c>
      <c r="C22" s="55" t="s">
        <v>258</v>
      </c>
      <c r="D22" s="54" t="s">
        <v>90</v>
      </c>
      <c r="E22" s="55" t="s">
        <v>469</v>
      </c>
      <c r="F22" s="56" t="s">
        <v>94</v>
      </c>
      <c r="G22" s="57">
        <v>5</v>
      </c>
      <c r="H22" s="54" t="s">
        <v>51</v>
      </c>
      <c r="I22" s="4" t="s">
        <v>470</v>
      </c>
    </row>
    <row r="23" spans="1:9">
      <c r="A23" s="12"/>
      <c r="B23" s="54">
        <v>1</v>
      </c>
      <c r="C23" s="55" t="s">
        <v>258</v>
      </c>
      <c r="D23" s="54" t="s">
        <v>90</v>
      </c>
      <c r="E23" s="55" t="s">
        <v>471</v>
      </c>
      <c r="F23" s="56" t="s">
        <v>94</v>
      </c>
      <c r="G23" s="57">
        <v>25</v>
      </c>
      <c r="H23" s="54" t="s">
        <v>51</v>
      </c>
      <c r="I23" s="4" t="s">
        <v>470</v>
      </c>
    </row>
    <row r="24" spans="1:9">
      <c r="A24" s="12"/>
      <c r="B24" s="54">
        <v>1</v>
      </c>
      <c r="C24" s="55" t="s">
        <v>258</v>
      </c>
      <c r="D24" s="54" t="s">
        <v>90</v>
      </c>
      <c r="E24" s="55" t="s">
        <v>472</v>
      </c>
      <c r="F24" s="56" t="s">
        <v>92</v>
      </c>
      <c r="G24" s="57">
        <v>5</v>
      </c>
      <c r="H24" s="54" t="s">
        <v>51</v>
      </c>
      <c r="I24" s="4" t="s">
        <v>470</v>
      </c>
    </row>
    <row r="25" spans="1:9">
      <c r="A25" s="12"/>
      <c r="B25" s="54">
        <v>1</v>
      </c>
      <c r="C25" s="55" t="s">
        <v>258</v>
      </c>
      <c r="D25" s="54" t="s">
        <v>90</v>
      </c>
      <c r="E25" s="55" t="s">
        <v>473</v>
      </c>
      <c r="F25" s="56" t="s">
        <v>92</v>
      </c>
      <c r="G25" s="57">
        <v>25</v>
      </c>
      <c r="H25" s="54" t="s">
        <v>51</v>
      </c>
      <c r="I25" s="4" t="s">
        <v>470</v>
      </c>
    </row>
    <row r="26" spans="1:9">
      <c r="A26" s="12"/>
      <c r="B26" s="54">
        <v>1</v>
      </c>
      <c r="C26" s="55" t="s">
        <v>258</v>
      </c>
      <c r="D26" s="54" t="s">
        <v>90</v>
      </c>
      <c r="E26" s="55" t="s">
        <v>474</v>
      </c>
      <c r="F26" s="56" t="s">
        <v>93</v>
      </c>
      <c r="G26" s="57">
        <v>5000</v>
      </c>
      <c r="H26" s="54" t="s">
        <v>51</v>
      </c>
      <c r="I26" s="4" t="s">
        <v>475</v>
      </c>
    </row>
    <row r="27" spans="1:9">
      <c r="A27" s="12"/>
      <c r="B27" s="54">
        <v>1</v>
      </c>
      <c r="C27" s="55" t="s">
        <v>258</v>
      </c>
      <c r="D27" s="54" t="s">
        <v>90</v>
      </c>
      <c r="E27" s="55" t="s">
        <v>474</v>
      </c>
      <c r="F27" s="56" t="s">
        <v>91</v>
      </c>
      <c r="G27" s="57">
        <v>5000</v>
      </c>
      <c r="H27" s="54" t="s">
        <v>51</v>
      </c>
      <c r="I27" s="4" t="s">
        <v>475</v>
      </c>
    </row>
    <row r="28" spans="1:9">
      <c r="A28" s="12"/>
      <c r="B28" s="54">
        <v>1</v>
      </c>
      <c r="C28" s="55" t="s">
        <v>258</v>
      </c>
      <c r="D28" s="54" t="s">
        <v>90</v>
      </c>
      <c r="E28" s="55" t="s">
        <v>125</v>
      </c>
      <c r="F28" s="56" t="s">
        <v>443</v>
      </c>
      <c r="G28" s="57">
        <v>10000</v>
      </c>
      <c r="H28" s="54" t="s">
        <v>51</v>
      </c>
      <c r="I28" s="4" t="s">
        <v>476</v>
      </c>
    </row>
    <row r="29" spans="1:9" ht="24">
      <c r="A29" s="12"/>
      <c r="B29" s="32">
        <v>2</v>
      </c>
      <c r="C29" s="53" t="s">
        <v>263</v>
      </c>
      <c r="D29" s="32" t="s">
        <v>114</v>
      </c>
      <c r="E29" s="53" t="s">
        <v>126</v>
      </c>
      <c r="F29" s="33" t="s">
        <v>389</v>
      </c>
      <c r="G29" s="34">
        <v>1000</v>
      </c>
      <c r="H29" s="32" t="s">
        <v>51</v>
      </c>
      <c r="I29" s="3" t="s">
        <v>477</v>
      </c>
    </row>
    <row r="30" spans="1:9">
      <c r="A30" s="12"/>
      <c r="B30" s="32">
        <v>2</v>
      </c>
      <c r="C30" s="53" t="s">
        <v>263</v>
      </c>
      <c r="D30" s="32" t="s">
        <v>114</v>
      </c>
      <c r="E30" s="53" t="s">
        <v>478</v>
      </c>
      <c r="F30" s="33" t="s">
        <v>81</v>
      </c>
      <c r="G30" s="34">
        <v>50</v>
      </c>
      <c r="H30" s="32" t="s">
        <v>51</v>
      </c>
      <c r="I30" s="3"/>
    </row>
    <row r="31" spans="1:9">
      <c r="A31" s="12"/>
      <c r="B31" s="32">
        <v>2</v>
      </c>
      <c r="C31" s="53" t="s">
        <v>263</v>
      </c>
      <c r="D31" s="32" t="s">
        <v>114</v>
      </c>
      <c r="E31" s="53" t="s">
        <v>479</v>
      </c>
      <c r="F31" s="33" t="s">
        <v>386</v>
      </c>
      <c r="G31" s="34">
        <v>30</v>
      </c>
      <c r="H31" s="32" t="s">
        <v>51</v>
      </c>
      <c r="I31" s="3"/>
    </row>
    <row r="32" spans="1:9">
      <c r="A32" s="12"/>
      <c r="B32" s="32">
        <v>2</v>
      </c>
      <c r="C32" s="53" t="s">
        <v>263</v>
      </c>
      <c r="D32" s="32" t="s">
        <v>114</v>
      </c>
      <c r="E32" s="53" t="s">
        <v>480</v>
      </c>
      <c r="F32" s="33" t="s">
        <v>386</v>
      </c>
      <c r="G32" s="34">
        <v>100</v>
      </c>
      <c r="H32" s="32" t="s">
        <v>51</v>
      </c>
      <c r="I32" s="3"/>
    </row>
    <row r="33" spans="1:9">
      <c r="A33" s="12"/>
      <c r="B33" s="32">
        <v>2</v>
      </c>
      <c r="C33" s="53" t="s">
        <v>263</v>
      </c>
      <c r="D33" s="32" t="s">
        <v>114</v>
      </c>
      <c r="E33" s="53" t="s">
        <v>481</v>
      </c>
      <c r="F33" s="33" t="s">
        <v>386</v>
      </c>
      <c r="G33" s="34">
        <v>30</v>
      </c>
      <c r="H33" s="32" t="s">
        <v>51</v>
      </c>
      <c r="I33" s="3"/>
    </row>
    <row r="34" spans="1:9">
      <c r="A34" s="12"/>
      <c r="B34" s="32">
        <v>2</v>
      </c>
      <c r="C34" s="53" t="s">
        <v>263</v>
      </c>
      <c r="D34" s="32" t="s">
        <v>114</v>
      </c>
      <c r="E34" s="53" t="s">
        <v>127</v>
      </c>
      <c r="F34" s="33" t="s">
        <v>386</v>
      </c>
      <c r="G34" s="34">
        <v>50</v>
      </c>
      <c r="H34" s="32" t="s">
        <v>51</v>
      </c>
      <c r="I34" s="3"/>
    </row>
    <row r="35" spans="1:9">
      <c r="A35" s="12"/>
      <c r="B35" s="32">
        <v>2</v>
      </c>
      <c r="C35" s="53" t="s">
        <v>263</v>
      </c>
      <c r="D35" s="32" t="s">
        <v>114</v>
      </c>
      <c r="E35" s="53" t="s">
        <v>128</v>
      </c>
      <c r="F35" s="33" t="s">
        <v>386</v>
      </c>
      <c r="G35" s="34">
        <v>200</v>
      </c>
      <c r="H35" s="32" t="s">
        <v>51</v>
      </c>
      <c r="I35" s="3"/>
    </row>
    <row r="36" spans="1:9">
      <c r="A36" s="12"/>
      <c r="B36" s="32">
        <v>2</v>
      </c>
      <c r="C36" s="53" t="s">
        <v>263</v>
      </c>
      <c r="D36" s="32" t="s">
        <v>114</v>
      </c>
      <c r="E36" s="53" t="s">
        <v>129</v>
      </c>
      <c r="F36" s="33" t="s">
        <v>386</v>
      </c>
      <c r="G36" s="34">
        <v>50</v>
      </c>
      <c r="H36" s="32" t="s">
        <v>51</v>
      </c>
      <c r="I36" s="3"/>
    </row>
    <row r="37" spans="1:9">
      <c r="A37" s="12"/>
      <c r="B37" s="32">
        <v>2</v>
      </c>
      <c r="C37" s="53" t="s">
        <v>263</v>
      </c>
      <c r="D37" s="32" t="s">
        <v>114</v>
      </c>
      <c r="E37" s="53" t="s">
        <v>130</v>
      </c>
      <c r="F37" s="33" t="s">
        <v>386</v>
      </c>
      <c r="G37" s="34">
        <v>100</v>
      </c>
      <c r="H37" s="32" t="s">
        <v>51</v>
      </c>
      <c r="I37" s="3"/>
    </row>
    <row r="38" spans="1:9" ht="22.5">
      <c r="A38" s="12"/>
      <c r="B38" s="32">
        <v>2</v>
      </c>
      <c r="C38" s="53" t="s">
        <v>263</v>
      </c>
      <c r="D38" s="32" t="s">
        <v>114</v>
      </c>
      <c r="E38" s="53" t="s">
        <v>482</v>
      </c>
      <c r="F38" s="33" t="s">
        <v>101</v>
      </c>
      <c r="G38" s="34">
        <v>1</v>
      </c>
      <c r="H38" s="32" t="s">
        <v>320</v>
      </c>
      <c r="I38" s="3"/>
    </row>
    <row r="39" spans="1:9">
      <c r="A39" s="12"/>
      <c r="B39" s="32">
        <v>2</v>
      </c>
      <c r="C39" s="53" t="s">
        <v>263</v>
      </c>
      <c r="D39" s="32" t="s">
        <v>114</v>
      </c>
      <c r="E39" s="53" t="s">
        <v>483</v>
      </c>
      <c r="F39" s="33" t="s">
        <v>99</v>
      </c>
      <c r="G39" s="34">
        <v>20</v>
      </c>
      <c r="H39" s="32" t="s">
        <v>51</v>
      </c>
      <c r="I39" s="3" t="s">
        <v>96</v>
      </c>
    </row>
    <row r="40" spans="1:9">
      <c r="A40" s="12"/>
      <c r="B40" s="32">
        <v>2</v>
      </c>
      <c r="C40" s="53" t="s">
        <v>263</v>
      </c>
      <c r="D40" s="32" t="s">
        <v>114</v>
      </c>
      <c r="E40" s="53" t="s">
        <v>131</v>
      </c>
      <c r="F40" s="33" t="s">
        <v>104</v>
      </c>
      <c r="G40" s="34">
        <v>5</v>
      </c>
      <c r="H40" s="32" t="s">
        <v>51</v>
      </c>
      <c r="I40" s="3"/>
    </row>
    <row r="41" spans="1:9">
      <c r="A41" s="12"/>
      <c r="B41" s="32">
        <v>2</v>
      </c>
      <c r="C41" s="53" t="s">
        <v>263</v>
      </c>
      <c r="D41" s="32" t="s">
        <v>114</v>
      </c>
      <c r="E41" s="53" t="s">
        <v>484</v>
      </c>
      <c r="F41" s="33" t="s">
        <v>100</v>
      </c>
      <c r="G41" s="34">
        <v>1000</v>
      </c>
      <c r="H41" s="32" t="s">
        <v>51</v>
      </c>
      <c r="I41" s="3"/>
    </row>
    <row r="42" spans="1:9">
      <c r="A42" s="12"/>
      <c r="B42" s="54">
        <v>2</v>
      </c>
      <c r="C42" s="55" t="s">
        <v>263</v>
      </c>
      <c r="D42" s="54" t="s">
        <v>90</v>
      </c>
      <c r="E42" s="55" t="s">
        <v>485</v>
      </c>
      <c r="F42" s="56" t="s">
        <v>427</v>
      </c>
      <c r="G42" s="57">
        <v>2000</v>
      </c>
      <c r="H42" s="54" t="s">
        <v>51</v>
      </c>
      <c r="I42" s="4" t="s">
        <v>132</v>
      </c>
    </row>
    <row r="43" spans="1:9">
      <c r="A43" s="12"/>
      <c r="B43" s="54">
        <v>2</v>
      </c>
      <c r="C43" s="55" t="s">
        <v>263</v>
      </c>
      <c r="D43" s="54" t="s">
        <v>90</v>
      </c>
      <c r="E43" s="55" t="s">
        <v>133</v>
      </c>
      <c r="F43" s="56" t="s">
        <v>106</v>
      </c>
      <c r="G43" s="57">
        <v>2000</v>
      </c>
      <c r="H43" s="54" t="s">
        <v>51</v>
      </c>
      <c r="I43" s="4" t="s">
        <v>132</v>
      </c>
    </row>
    <row r="44" spans="1:9">
      <c r="A44" s="12"/>
      <c r="B44" s="54">
        <v>2</v>
      </c>
      <c r="C44" s="55" t="s">
        <v>263</v>
      </c>
      <c r="D44" s="54" t="s">
        <v>90</v>
      </c>
      <c r="E44" s="55" t="s">
        <v>102</v>
      </c>
      <c r="F44" s="56" t="s">
        <v>102</v>
      </c>
      <c r="G44" s="57">
        <v>700</v>
      </c>
      <c r="H44" s="54" t="s">
        <v>51</v>
      </c>
      <c r="I44" s="4" t="s">
        <v>132</v>
      </c>
    </row>
    <row r="45" spans="1:9">
      <c r="A45" s="12"/>
      <c r="B45" s="54">
        <v>2</v>
      </c>
      <c r="C45" s="55" t="s">
        <v>263</v>
      </c>
      <c r="D45" s="54" t="s">
        <v>90</v>
      </c>
      <c r="E45" s="55" t="s">
        <v>97</v>
      </c>
      <c r="F45" s="56" t="s">
        <v>97</v>
      </c>
      <c r="G45" s="57">
        <v>3000</v>
      </c>
      <c r="H45" s="54" t="s">
        <v>51</v>
      </c>
      <c r="I45" s="4" t="s">
        <v>134</v>
      </c>
    </row>
    <row r="46" spans="1:9">
      <c r="A46" s="12"/>
      <c r="B46" s="54">
        <v>2</v>
      </c>
      <c r="C46" s="55" t="s">
        <v>263</v>
      </c>
      <c r="D46" s="54" t="s">
        <v>90</v>
      </c>
      <c r="E46" s="55" t="s">
        <v>135</v>
      </c>
      <c r="F46" s="56" t="s">
        <v>98</v>
      </c>
      <c r="G46" s="57">
        <v>500</v>
      </c>
      <c r="H46" s="54" t="s">
        <v>51</v>
      </c>
      <c r="I46" s="4" t="s">
        <v>136</v>
      </c>
    </row>
    <row r="47" spans="1:9">
      <c r="A47" s="12"/>
      <c r="B47" s="32">
        <v>3</v>
      </c>
      <c r="C47" s="53" t="s">
        <v>268</v>
      </c>
      <c r="D47" s="32" t="s">
        <v>114</v>
      </c>
      <c r="E47" s="53" t="s">
        <v>486</v>
      </c>
      <c r="F47" s="33" t="s">
        <v>448</v>
      </c>
      <c r="G47" s="34">
        <v>40</v>
      </c>
      <c r="H47" s="32" t="s">
        <v>51</v>
      </c>
      <c r="I47" s="3"/>
    </row>
    <row r="48" spans="1:9">
      <c r="A48" s="12"/>
      <c r="B48" s="32">
        <v>3</v>
      </c>
      <c r="C48" s="53" t="s">
        <v>268</v>
      </c>
      <c r="D48" s="32" t="s">
        <v>114</v>
      </c>
      <c r="E48" s="53" t="s">
        <v>487</v>
      </c>
      <c r="F48" s="33" t="s">
        <v>104</v>
      </c>
      <c r="G48" s="34">
        <v>200</v>
      </c>
      <c r="H48" s="32" t="s">
        <v>51</v>
      </c>
      <c r="I48" s="3" t="s">
        <v>137</v>
      </c>
    </row>
    <row r="49" spans="1:9">
      <c r="A49" s="12"/>
      <c r="B49" s="32">
        <v>3</v>
      </c>
      <c r="C49" s="53" t="s">
        <v>268</v>
      </c>
      <c r="D49" s="32" t="s">
        <v>114</v>
      </c>
      <c r="E49" s="53" t="s">
        <v>488</v>
      </c>
      <c r="F49" s="33" t="s">
        <v>108</v>
      </c>
      <c r="G49" s="34">
        <v>3</v>
      </c>
      <c r="H49" s="32" t="s">
        <v>51</v>
      </c>
      <c r="I49" s="3"/>
    </row>
    <row r="50" spans="1:9">
      <c r="A50" s="12"/>
      <c r="B50" s="32">
        <v>3</v>
      </c>
      <c r="C50" s="53" t="s">
        <v>268</v>
      </c>
      <c r="D50" s="32" t="s">
        <v>114</v>
      </c>
      <c r="E50" s="53" t="s">
        <v>489</v>
      </c>
      <c r="F50" s="33" t="s">
        <v>108</v>
      </c>
      <c r="G50" s="34">
        <v>10</v>
      </c>
      <c r="H50" s="32" t="s">
        <v>51</v>
      </c>
      <c r="I50" s="3"/>
    </row>
    <row r="51" spans="1:9">
      <c r="A51" s="12"/>
      <c r="B51" s="32">
        <v>3</v>
      </c>
      <c r="C51" s="53" t="s">
        <v>268</v>
      </c>
      <c r="D51" s="32" t="s">
        <v>114</v>
      </c>
      <c r="E51" s="53" t="s">
        <v>490</v>
      </c>
      <c r="F51" s="33" t="s">
        <v>108</v>
      </c>
      <c r="G51" s="34">
        <v>1</v>
      </c>
      <c r="H51" s="32" t="s">
        <v>51</v>
      </c>
      <c r="I51" s="3"/>
    </row>
    <row r="52" spans="1:9">
      <c r="A52" s="12"/>
      <c r="B52" s="32">
        <v>3</v>
      </c>
      <c r="C52" s="53" t="s">
        <v>268</v>
      </c>
      <c r="D52" s="32" t="s">
        <v>114</v>
      </c>
      <c r="E52" s="53" t="s">
        <v>491</v>
      </c>
      <c r="F52" s="33" t="s">
        <v>108</v>
      </c>
      <c r="G52" s="34">
        <v>3</v>
      </c>
      <c r="H52" s="32" t="s">
        <v>51</v>
      </c>
      <c r="I52" s="3"/>
    </row>
    <row r="53" spans="1:9">
      <c r="A53" s="12"/>
      <c r="B53" s="32">
        <v>3</v>
      </c>
      <c r="C53" s="53" t="s">
        <v>268</v>
      </c>
      <c r="D53" s="32" t="s">
        <v>114</v>
      </c>
      <c r="E53" s="53" t="s">
        <v>492</v>
      </c>
      <c r="F53" s="33" t="s">
        <v>108</v>
      </c>
      <c r="G53" s="34">
        <v>1</v>
      </c>
      <c r="H53" s="32" t="s">
        <v>51</v>
      </c>
      <c r="I53" s="3"/>
    </row>
    <row r="54" spans="1:9">
      <c r="A54" s="12"/>
      <c r="B54" s="32"/>
      <c r="C54" s="53"/>
      <c r="D54" s="32"/>
      <c r="E54" s="53"/>
      <c r="F54" s="53"/>
      <c r="G54" s="52"/>
      <c r="H54" s="32"/>
      <c r="I54" s="3"/>
    </row>
    <row r="55" spans="1:9">
      <c r="A55" s="12"/>
      <c r="B55" s="32"/>
      <c r="C55" s="53"/>
      <c r="D55" s="32"/>
      <c r="E55" s="53"/>
      <c r="F55" s="53"/>
      <c r="G55" s="52"/>
      <c r="H55" s="32"/>
      <c r="I55" s="3"/>
    </row>
    <row r="56" spans="1:9">
      <c r="A56" s="12"/>
      <c r="B56" s="32"/>
      <c r="C56" s="53"/>
      <c r="D56" s="32"/>
      <c r="E56" s="53"/>
      <c r="F56" s="53"/>
      <c r="G56" s="52"/>
      <c r="H56" s="32"/>
      <c r="I56" s="3"/>
    </row>
    <row r="57" spans="1:9">
      <c r="A57" s="12"/>
      <c r="B57" s="32"/>
      <c r="C57" s="53"/>
      <c r="D57" s="32"/>
      <c r="E57" s="53"/>
      <c r="F57" s="53"/>
      <c r="G57" s="52"/>
      <c r="H57" s="32"/>
      <c r="I57" s="3"/>
    </row>
    <row r="58" spans="1:9">
      <c r="A58" s="12"/>
      <c r="B58" s="32"/>
      <c r="C58" s="53"/>
      <c r="D58" s="32"/>
      <c r="E58" s="53"/>
      <c r="F58" s="53"/>
      <c r="G58" s="52"/>
      <c r="H58" s="32"/>
      <c r="I58" s="3"/>
    </row>
    <row r="59" spans="1:9">
      <c r="A59" s="12"/>
      <c r="B59" s="32"/>
      <c r="C59" s="53"/>
      <c r="D59" s="32"/>
      <c r="E59" s="53"/>
      <c r="F59" s="53"/>
      <c r="G59" s="52"/>
      <c r="H59" s="32"/>
      <c r="I59" s="3"/>
    </row>
    <row r="60" spans="1:9">
      <c r="A60" s="12"/>
      <c r="B60" s="32"/>
      <c r="C60" s="53"/>
      <c r="D60" s="32"/>
      <c r="E60" s="53"/>
      <c r="F60" s="53"/>
      <c r="G60" s="52"/>
      <c r="H60" s="32"/>
      <c r="I60" s="3"/>
    </row>
    <row r="61" spans="1:9">
      <c r="A61" s="12"/>
      <c r="B61" s="32"/>
      <c r="C61" s="53"/>
      <c r="D61" s="32"/>
      <c r="E61" s="53"/>
      <c r="F61" s="53"/>
      <c r="G61" s="52"/>
      <c r="H61" s="32"/>
      <c r="I61" s="3"/>
    </row>
    <row r="62" spans="1:9">
      <c r="A62" s="12"/>
      <c r="B62" s="32"/>
      <c r="C62" s="53"/>
      <c r="D62" s="32"/>
      <c r="E62" s="53"/>
      <c r="F62" s="53"/>
      <c r="G62" s="52"/>
      <c r="H62" s="32"/>
      <c r="I62" s="3"/>
    </row>
    <row r="63" spans="1:9">
      <c r="A63" s="12"/>
      <c r="B63" s="32"/>
      <c r="C63" s="53"/>
      <c r="D63" s="32"/>
      <c r="E63" s="53"/>
      <c r="F63" s="53"/>
      <c r="G63" s="52"/>
      <c r="H63" s="32"/>
      <c r="I63" s="3"/>
    </row>
    <row r="64" spans="1:9">
      <c r="A64" s="12"/>
      <c r="B64" s="32"/>
      <c r="C64" s="53"/>
      <c r="D64" s="32"/>
      <c r="E64" s="53"/>
      <c r="F64" s="53"/>
      <c r="G64" s="52"/>
      <c r="H64" s="32"/>
      <c r="I64" s="3"/>
    </row>
    <row r="65" spans="1:9">
      <c r="A65" s="12"/>
      <c r="B65" s="32"/>
      <c r="C65" s="53"/>
      <c r="D65" s="32"/>
      <c r="E65" s="53"/>
      <c r="F65" s="53"/>
      <c r="G65" s="52"/>
      <c r="H65" s="32"/>
      <c r="I65" s="3"/>
    </row>
    <row r="66" spans="1:9">
      <c r="A66" s="12"/>
      <c r="B66" s="32"/>
      <c r="C66" s="53"/>
      <c r="D66" s="32"/>
      <c r="E66" s="53"/>
      <c r="F66" s="53"/>
      <c r="G66" s="52"/>
      <c r="H66" s="32"/>
      <c r="I66" s="3"/>
    </row>
    <row r="67" spans="1:9">
      <c r="A67" s="12"/>
      <c r="B67" s="32"/>
      <c r="C67" s="53"/>
      <c r="D67" s="32"/>
      <c r="E67" s="53"/>
      <c r="F67" s="53"/>
      <c r="G67" s="52"/>
      <c r="H67" s="32"/>
      <c r="I67" s="3"/>
    </row>
    <row r="68" spans="1:9">
      <c r="A68" s="12"/>
      <c r="B68" s="32"/>
      <c r="C68" s="53"/>
      <c r="D68" s="32"/>
      <c r="E68" s="53"/>
      <c r="F68" s="53"/>
      <c r="G68" s="52"/>
      <c r="H68" s="32"/>
      <c r="I68" s="3"/>
    </row>
    <row r="69" spans="1:9">
      <c r="A69" s="12"/>
      <c r="B69" s="39"/>
      <c r="C69" s="39"/>
      <c r="D69" s="39"/>
      <c r="E69" s="39"/>
      <c r="F69" s="39"/>
      <c r="G69" s="39"/>
      <c r="H69" s="39"/>
      <c r="I69" s="12"/>
    </row>
    <row r="70" spans="1:9">
      <c r="A70" s="12"/>
      <c r="B70" s="39"/>
      <c r="C70" s="77" t="s">
        <v>493</v>
      </c>
      <c r="D70" s="77"/>
      <c r="E70" s="77"/>
      <c r="F70" s="77"/>
      <c r="G70" s="77"/>
      <c r="H70" s="77"/>
      <c r="I70" s="78"/>
    </row>
  </sheetData>
  <mergeCells count="3">
    <mergeCell ref="A1:I1"/>
    <mergeCell ref="A2:I2"/>
    <mergeCell ref="C70:I70"/>
  </mergeCells>
  <phoneticPr fontId="13" type="noConversion"/>
  <printOptions horizontalCentered="1"/>
  <pageMargins left="0.75" right="0.75" top="1" bottom="1" header="0.511811023622047" footer="0.511811023622047"/>
  <pageSetup paperSize="9" scale="92" fitToHeight="0"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34"/>
  <sheetViews>
    <sheetView showGridLines="0" topLeftCell="A21" zoomScaleNormal="100" workbookViewId="0">
      <selection sqref="A1:H1"/>
    </sheetView>
  </sheetViews>
  <sheetFormatPr defaultColWidth="8.7109375" defaultRowHeight="15"/>
  <cols>
    <col min="1" max="1" width="2.28515625" customWidth="1"/>
    <col min="2" max="3" width="17.140625" customWidth="1"/>
    <col min="4" max="4" width="23.85546875" customWidth="1"/>
    <col min="5" max="5" width="20" customWidth="1"/>
    <col min="6" max="6" width="19" customWidth="1"/>
    <col min="7" max="7" width="38.140625" customWidth="1"/>
    <col min="8" max="8" width="21.85546875" customWidth="1"/>
  </cols>
  <sheetData>
    <row r="1" spans="1:8" ht="26.25">
      <c r="A1" s="66" t="s">
        <v>138</v>
      </c>
      <c r="B1" s="66"/>
      <c r="C1" s="66"/>
      <c r="D1" s="66"/>
      <c r="E1" s="66"/>
      <c r="F1" s="66"/>
      <c r="G1" s="66"/>
      <c r="H1" s="66"/>
    </row>
    <row r="2" spans="1:8">
      <c r="A2" s="67" t="s">
        <v>494</v>
      </c>
      <c r="B2" s="67"/>
      <c r="C2" s="67"/>
      <c r="D2" s="67"/>
      <c r="E2" s="67"/>
      <c r="F2" s="67"/>
      <c r="G2" s="67"/>
      <c r="H2" s="67"/>
    </row>
    <row r="3" spans="1:8">
      <c r="A3" s="12"/>
      <c r="B3" s="12"/>
      <c r="C3" s="12"/>
      <c r="D3" s="12"/>
      <c r="E3" s="12"/>
      <c r="F3" s="12"/>
      <c r="G3" s="12"/>
      <c r="H3" s="12"/>
    </row>
    <row r="4" spans="1:8" ht="24">
      <c r="A4" s="12"/>
      <c r="B4" s="13" t="s">
        <v>495</v>
      </c>
      <c r="C4" s="12"/>
      <c r="D4" s="12"/>
      <c r="E4" s="12"/>
      <c r="F4" s="12"/>
      <c r="G4" s="12"/>
      <c r="H4" s="12"/>
    </row>
    <row r="5" spans="1:8">
      <c r="A5" s="12"/>
      <c r="B5" s="6" t="s">
        <v>139</v>
      </c>
      <c r="C5" s="65" t="s">
        <v>496</v>
      </c>
      <c r="D5" s="65"/>
      <c r="E5" s="65"/>
      <c r="F5" s="65"/>
      <c r="G5" s="65"/>
      <c r="H5" s="65"/>
    </row>
    <row r="6" spans="1:8">
      <c r="A6" s="12"/>
      <c r="B6" s="6" t="s">
        <v>140</v>
      </c>
      <c r="C6" s="65" t="s">
        <v>141</v>
      </c>
      <c r="D6" s="65"/>
      <c r="E6" s="65"/>
      <c r="F6" s="65"/>
      <c r="G6" s="65"/>
      <c r="H6" s="65"/>
    </row>
    <row r="7" spans="1:8">
      <c r="A7" s="12"/>
      <c r="B7" s="6" t="s">
        <v>142</v>
      </c>
      <c r="C7" s="80" t="s">
        <v>497</v>
      </c>
      <c r="D7" s="80"/>
      <c r="E7" s="80"/>
      <c r="F7" s="80"/>
      <c r="G7" s="80"/>
      <c r="H7" s="80"/>
    </row>
    <row r="8" spans="1:8">
      <c r="A8" s="12"/>
      <c r="B8" s="6" t="s">
        <v>143</v>
      </c>
      <c r="C8" s="65" t="s">
        <v>498</v>
      </c>
      <c r="D8" s="65"/>
      <c r="E8" s="65"/>
      <c r="F8" s="65"/>
      <c r="G8" s="65"/>
      <c r="H8" s="65"/>
    </row>
    <row r="9" spans="1:8">
      <c r="A9" s="12"/>
      <c r="B9" s="6" t="s">
        <v>144</v>
      </c>
      <c r="C9" s="65" t="s">
        <v>499</v>
      </c>
      <c r="D9" s="65"/>
      <c r="E9" s="65"/>
      <c r="F9" s="65"/>
      <c r="G9" s="65"/>
      <c r="H9" s="65"/>
    </row>
    <row r="10" spans="1:8">
      <c r="A10" s="12"/>
      <c r="B10" s="6" t="s">
        <v>500</v>
      </c>
      <c r="C10" s="65" t="s">
        <v>501</v>
      </c>
      <c r="D10" s="65"/>
      <c r="E10" s="65"/>
      <c r="F10" s="65"/>
      <c r="G10" s="65"/>
      <c r="H10" s="65"/>
    </row>
    <row r="11" spans="1:8">
      <c r="A11" s="12"/>
      <c r="B11" s="6" t="s">
        <v>145</v>
      </c>
      <c r="C11" s="65" t="s">
        <v>502</v>
      </c>
      <c r="D11" s="65"/>
      <c r="E11" s="65"/>
      <c r="F11" s="65"/>
      <c r="G11" s="65"/>
      <c r="H11" s="65"/>
    </row>
    <row r="12" spans="1:8">
      <c r="A12" s="12"/>
      <c r="B12" s="6" t="s">
        <v>503</v>
      </c>
      <c r="C12" s="65" t="s">
        <v>504</v>
      </c>
      <c r="D12" s="65"/>
      <c r="E12" s="65"/>
      <c r="F12" s="65"/>
      <c r="G12" s="65"/>
      <c r="H12" s="65"/>
    </row>
    <row r="13" spans="1:8">
      <c r="A13" s="12"/>
      <c r="B13" s="12"/>
      <c r="C13" s="12"/>
      <c r="D13" s="12"/>
      <c r="E13" s="12"/>
      <c r="F13" s="12"/>
      <c r="G13" s="12"/>
      <c r="H13" s="12"/>
    </row>
    <row r="14" spans="1:8" ht="36">
      <c r="A14" s="12"/>
      <c r="B14" s="13" t="s">
        <v>505</v>
      </c>
      <c r="C14" s="12"/>
      <c r="D14" s="12"/>
      <c r="E14" s="12"/>
      <c r="F14" s="12"/>
      <c r="G14" s="12"/>
      <c r="H14" s="12"/>
    </row>
    <row r="15" spans="1:8">
      <c r="A15" s="7"/>
      <c r="B15" s="7" t="s">
        <v>146</v>
      </c>
      <c r="C15" s="7" t="s">
        <v>147</v>
      </c>
      <c r="D15" s="7" t="s">
        <v>506</v>
      </c>
      <c r="E15" s="7" t="s">
        <v>148</v>
      </c>
      <c r="F15" s="7" t="s">
        <v>507</v>
      </c>
      <c r="G15" s="7" t="s">
        <v>149</v>
      </c>
      <c r="H15" s="7" t="s">
        <v>113</v>
      </c>
    </row>
    <row r="16" spans="1:8" ht="24">
      <c r="A16" s="12"/>
      <c r="B16" s="1" t="s">
        <v>508</v>
      </c>
      <c r="C16" s="1" t="s">
        <v>509</v>
      </c>
      <c r="D16" s="1" t="s">
        <v>510</v>
      </c>
      <c r="E16" s="3" t="s">
        <v>511</v>
      </c>
      <c r="F16" s="3" t="s">
        <v>512</v>
      </c>
      <c r="G16" s="3" t="s">
        <v>513</v>
      </c>
      <c r="H16" s="1"/>
    </row>
    <row r="17" spans="1:8" ht="24">
      <c r="A17" s="12"/>
      <c r="B17" s="5" t="s">
        <v>514</v>
      </c>
      <c r="C17" s="5" t="s">
        <v>515</v>
      </c>
      <c r="D17" s="5" t="s">
        <v>516</v>
      </c>
      <c r="E17" s="58" t="s">
        <v>517</v>
      </c>
      <c r="F17" s="58" t="s">
        <v>518</v>
      </c>
      <c r="G17" s="58" t="s">
        <v>519</v>
      </c>
      <c r="H17" s="5" t="s">
        <v>520</v>
      </c>
    </row>
    <row r="18" spans="1:8" ht="24">
      <c r="A18" s="12"/>
      <c r="B18" s="1" t="s">
        <v>521</v>
      </c>
      <c r="C18" s="1" t="s">
        <v>522</v>
      </c>
      <c r="D18" s="1" t="s">
        <v>523</v>
      </c>
      <c r="E18" s="3" t="s">
        <v>517</v>
      </c>
      <c r="F18" s="3" t="s">
        <v>524</v>
      </c>
      <c r="G18" s="3" t="s">
        <v>525</v>
      </c>
      <c r="H18" s="1"/>
    </row>
    <row r="19" spans="1:8" ht="36">
      <c r="A19" s="12"/>
      <c r="B19" s="1" t="s">
        <v>526</v>
      </c>
      <c r="C19" s="1" t="s">
        <v>527</v>
      </c>
      <c r="D19" s="1" t="s">
        <v>528</v>
      </c>
      <c r="E19" s="3" t="s">
        <v>517</v>
      </c>
      <c r="F19" s="3" t="s">
        <v>524</v>
      </c>
      <c r="G19" s="3" t="s">
        <v>529</v>
      </c>
      <c r="H19" s="1"/>
    </row>
    <row r="20" spans="1:8" ht="24">
      <c r="A20" s="12"/>
      <c r="B20" s="1" t="s">
        <v>530</v>
      </c>
      <c r="C20" s="1" t="s">
        <v>531</v>
      </c>
      <c r="D20" s="1" t="s">
        <v>532</v>
      </c>
      <c r="E20" s="3" t="s">
        <v>533</v>
      </c>
      <c r="F20" s="3" t="s">
        <v>534</v>
      </c>
      <c r="G20" s="3" t="s">
        <v>535</v>
      </c>
      <c r="H20" s="1"/>
    </row>
    <row r="21" spans="1:8" ht="60">
      <c r="A21" s="12"/>
      <c r="B21" s="1" t="s">
        <v>536</v>
      </c>
      <c r="C21" s="1" t="s">
        <v>537</v>
      </c>
      <c r="D21" s="1" t="s">
        <v>538</v>
      </c>
      <c r="E21" s="3" t="s">
        <v>539</v>
      </c>
      <c r="F21" s="3" t="s">
        <v>534</v>
      </c>
      <c r="G21" s="3" t="s">
        <v>540</v>
      </c>
      <c r="H21" s="1"/>
    </row>
    <row r="22" spans="1:8">
      <c r="A22" s="12"/>
      <c r="B22" s="12"/>
      <c r="C22" s="12"/>
      <c r="D22" s="12"/>
      <c r="E22" s="12"/>
      <c r="F22" s="12"/>
      <c r="G22" s="12"/>
      <c r="H22" s="12"/>
    </row>
    <row r="23" spans="1:8" ht="24">
      <c r="A23" s="12"/>
      <c r="B23" s="13" t="s">
        <v>541</v>
      </c>
      <c r="C23" s="12"/>
      <c r="D23" s="12"/>
      <c r="E23" s="12"/>
      <c r="F23" s="12"/>
      <c r="G23" s="12"/>
      <c r="H23" s="12"/>
    </row>
    <row r="24" spans="1:8" ht="24">
      <c r="A24" s="7"/>
      <c r="B24" s="7" t="s">
        <v>150</v>
      </c>
      <c r="C24" s="7" t="s">
        <v>542</v>
      </c>
      <c r="D24" s="79" t="s">
        <v>543</v>
      </c>
      <c r="E24" s="79"/>
      <c r="F24" s="79" t="s">
        <v>151</v>
      </c>
      <c r="G24" s="79"/>
      <c r="H24" s="79"/>
    </row>
    <row r="25" spans="1:8" ht="48">
      <c r="A25" s="12"/>
      <c r="B25" s="17" t="s">
        <v>152</v>
      </c>
      <c r="C25" s="3" t="s">
        <v>544</v>
      </c>
      <c r="D25" s="65" t="s">
        <v>545</v>
      </c>
      <c r="E25" s="65"/>
      <c r="F25" s="65" t="s">
        <v>546</v>
      </c>
      <c r="G25" s="65"/>
      <c r="H25" s="65"/>
    </row>
    <row r="26" spans="1:8" ht="24">
      <c r="A26" s="12"/>
      <c r="B26" s="17" t="s">
        <v>153</v>
      </c>
      <c r="C26" s="3" t="s">
        <v>547</v>
      </c>
      <c r="D26" s="65" t="s">
        <v>548</v>
      </c>
      <c r="E26" s="65"/>
      <c r="F26" s="65" t="s">
        <v>549</v>
      </c>
      <c r="G26" s="65"/>
      <c r="H26" s="65"/>
    </row>
    <row r="27" spans="1:8" ht="24">
      <c r="A27" s="12"/>
      <c r="B27" s="17" t="s">
        <v>154</v>
      </c>
      <c r="C27" s="3" t="s">
        <v>550</v>
      </c>
      <c r="D27" s="65" t="s">
        <v>551</v>
      </c>
      <c r="E27" s="65"/>
      <c r="F27" s="65" t="s">
        <v>552</v>
      </c>
      <c r="G27" s="65"/>
      <c r="H27" s="65"/>
    </row>
    <row r="28" spans="1:8" ht="24">
      <c r="A28" s="12"/>
      <c r="B28" s="17" t="s">
        <v>155</v>
      </c>
      <c r="C28" s="3" t="s">
        <v>553</v>
      </c>
      <c r="D28" s="65" t="s">
        <v>554</v>
      </c>
      <c r="E28" s="65"/>
      <c r="F28" s="65" t="s">
        <v>156</v>
      </c>
      <c r="G28" s="65"/>
      <c r="H28" s="65"/>
    </row>
    <row r="29" spans="1:8" ht="24">
      <c r="A29" s="12"/>
      <c r="B29" s="17" t="s">
        <v>157</v>
      </c>
      <c r="C29" s="3" t="s">
        <v>555</v>
      </c>
      <c r="D29" s="65" t="s">
        <v>556</v>
      </c>
      <c r="E29" s="65"/>
      <c r="F29" s="65" t="s">
        <v>557</v>
      </c>
      <c r="G29" s="65"/>
      <c r="H29" s="65"/>
    </row>
    <row r="30" spans="1:8" ht="36">
      <c r="A30" s="12"/>
      <c r="B30" s="17" t="s">
        <v>558</v>
      </c>
      <c r="C30" s="3" t="s">
        <v>559</v>
      </c>
      <c r="D30" s="65" t="s">
        <v>560</v>
      </c>
      <c r="E30" s="65"/>
      <c r="F30" s="65" t="s">
        <v>561</v>
      </c>
      <c r="G30" s="65"/>
      <c r="H30" s="65"/>
    </row>
    <row r="31" spans="1:8" ht="24">
      <c r="A31" s="12"/>
      <c r="B31" s="17" t="s">
        <v>158</v>
      </c>
      <c r="C31" s="3" t="s">
        <v>562</v>
      </c>
      <c r="D31" s="65" t="s">
        <v>563</v>
      </c>
      <c r="E31" s="65"/>
      <c r="F31" s="65" t="s">
        <v>564</v>
      </c>
      <c r="G31" s="65"/>
      <c r="H31" s="65"/>
    </row>
    <row r="32" spans="1:8">
      <c r="A32" s="12"/>
      <c r="B32" s="17" t="s">
        <v>159</v>
      </c>
      <c r="C32" s="3" t="s">
        <v>160</v>
      </c>
      <c r="D32" s="65" t="s">
        <v>565</v>
      </c>
      <c r="E32" s="65"/>
      <c r="F32" s="65" t="s">
        <v>161</v>
      </c>
      <c r="G32" s="65"/>
      <c r="H32" s="65"/>
    </row>
    <row r="33" spans="1:8">
      <c r="A33" s="12"/>
      <c r="B33" s="12"/>
      <c r="C33" s="12"/>
      <c r="D33" s="12"/>
      <c r="E33" s="12"/>
      <c r="F33" s="12"/>
      <c r="G33" s="12"/>
      <c r="H33" s="12"/>
    </row>
    <row r="34" spans="1:8" ht="66" customHeight="1">
      <c r="A34" s="12"/>
      <c r="B34" s="11" t="s">
        <v>162</v>
      </c>
      <c r="C34" s="65" t="s">
        <v>566</v>
      </c>
      <c r="D34" s="65"/>
      <c r="E34" s="65"/>
      <c r="F34" s="65"/>
      <c r="G34" s="65"/>
      <c r="H34" s="65"/>
    </row>
  </sheetData>
  <mergeCells count="29">
    <mergeCell ref="A1:H1"/>
    <mergeCell ref="A2:H2"/>
    <mergeCell ref="C5:H5"/>
    <mergeCell ref="C6:H6"/>
    <mergeCell ref="C7:H7"/>
    <mergeCell ref="C8:H8"/>
    <mergeCell ref="C9:H9"/>
    <mergeCell ref="C10:H10"/>
    <mergeCell ref="C11:H11"/>
    <mergeCell ref="C12:H12"/>
    <mergeCell ref="D24:E24"/>
    <mergeCell ref="F24:H24"/>
    <mergeCell ref="D25:E25"/>
    <mergeCell ref="F25:H25"/>
    <mergeCell ref="D26:E26"/>
    <mergeCell ref="F26:H26"/>
    <mergeCell ref="D27:E27"/>
    <mergeCell ref="F27:H27"/>
    <mergeCell ref="D28:E28"/>
    <mergeCell ref="F28:H28"/>
    <mergeCell ref="D29:E29"/>
    <mergeCell ref="F29:H29"/>
    <mergeCell ref="C34:H34"/>
    <mergeCell ref="D30:E30"/>
    <mergeCell ref="F30:H30"/>
    <mergeCell ref="D31:E31"/>
    <mergeCell ref="F31:H31"/>
    <mergeCell ref="D32:E32"/>
    <mergeCell ref="F32:H32"/>
  </mergeCells>
  <phoneticPr fontId="13" type="noConversion"/>
  <printOptions horizontalCentered="1"/>
  <pageMargins left="0.75" right="0.75" top="1" bottom="1" header="0.511811023622047" footer="0.511811023622047"/>
  <pageSetup paperSize="9" scale="81" fitToHeight="0"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23"/>
  <sheetViews>
    <sheetView showGridLines="0" topLeftCell="A13" zoomScaleNormal="100" workbookViewId="0">
      <selection sqref="A1:F1"/>
    </sheetView>
  </sheetViews>
  <sheetFormatPr defaultColWidth="8.7109375" defaultRowHeight="15"/>
  <cols>
    <col min="1" max="1" width="2.28515625" customWidth="1"/>
    <col min="2" max="2" width="13.28515625" customWidth="1"/>
    <col min="3" max="3" width="18.140625" customWidth="1"/>
    <col min="4" max="5" width="38.140625" customWidth="1"/>
    <col min="6" max="6" width="21" customWidth="1"/>
  </cols>
  <sheetData>
    <row r="1" spans="1:6" ht="26.25">
      <c r="A1" s="66" t="s">
        <v>567</v>
      </c>
      <c r="B1" s="66"/>
      <c r="C1" s="66"/>
      <c r="D1" s="66"/>
      <c r="E1" s="66"/>
      <c r="F1" s="66"/>
    </row>
    <row r="2" spans="1:6">
      <c r="A2" s="67" t="s">
        <v>568</v>
      </c>
      <c r="B2" s="67"/>
      <c r="C2" s="67"/>
      <c r="D2" s="67"/>
      <c r="E2" s="67"/>
      <c r="F2" s="67"/>
    </row>
    <row r="3" spans="1:6">
      <c r="A3" s="12"/>
      <c r="B3" s="12"/>
      <c r="C3" s="12"/>
      <c r="D3" s="12"/>
      <c r="E3" s="12"/>
      <c r="F3" s="12"/>
    </row>
    <row r="4" spans="1:6">
      <c r="A4" s="12"/>
      <c r="B4" s="13" t="s">
        <v>163</v>
      </c>
      <c r="C4" s="12"/>
      <c r="D4" s="12"/>
      <c r="E4" s="12"/>
      <c r="F4" s="12"/>
    </row>
    <row r="5" spans="1:6">
      <c r="A5" s="12"/>
      <c r="B5" s="82" t="s">
        <v>569</v>
      </c>
      <c r="C5" s="82"/>
      <c r="D5" s="82"/>
      <c r="E5" s="82"/>
      <c r="F5" s="82"/>
    </row>
    <row r="6" spans="1:6">
      <c r="A6" s="12"/>
      <c r="B6" s="12"/>
      <c r="C6" s="12"/>
      <c r="D6" s="12"/>
      <c r="E6" s="12"/>
      <c r="F6" s="12"/>
    </row>
    <row r="7" spans="1:6">
      <c r="A7" s="7"/>
      <c r="B7" s="7" t="s">
        <v>164</v>
      </c>
      <c r="C7" s="7" t="s">
        <v>165</v>
      </c>
      <c r="D7" s="7" t="s">
        <v>570</v>
      </c>
      <c r="E7" s="7" t="s">
        <v>166</v>
      </c>
      <c r="F7" s="7" t="s">
        <v>571</v>
      </c>
    </row>
    <row r="8" spans="1:6" ht="48">
      <c r="A8" s="12"/>
      <c r="B8" s="81" t="s">
        <v>167</v>
      </c>
      <c r="C8" s="17" t="s">
        <v>168</v>
      </c>
      <c r="D8" s="3" t="s">
        <v>572</v>
      </c>
      <c r="E8" s="2" t="s">
        <v>573</v>
      </c>
      <c r="F8" s="59" t="s">
        <v>574</v>
      </c>
    </row>
    <row r="9" spans="1:6" ht="72">
      <c r="A9" s="12"/>
      <c r="B9" s="81"/>
      <c r="C9" s="17" t="s">
        <v>169</v>
      </c>
      <c r="D9" s="3" t="s">
        <v>575</v>
      </c>
      <c r="E9" s="2" t="s">
        <v>576</v>
      </c>
      <c r="F9" s="59" t="s">
        <v>577</v>
      </c>
    </row>
    <row r="10" spans="1:6" ht="72">
      <c r="A10" s="12"/>
      <c r="B10" s="81"/>
      <c r="C10" s="17" t="s">
        <v>170</v>
      </c>
      <c r="D10" s="3" t="s">
        <v>578</v>
      </c>
      <c r="E10" s="2" t="s">
        <v>579</v>
      </c>
      <c r="F10" s="59" t="s">
        <v>580</v>
      </c>
    </row>
    <row r="11" spans="1:6" ht="60">
      <c r="A11" s="12"/>
      <c r="B11" s="81"/>
      <c r="C11" s="17" t="s">
        <v>171</v>
      </c>
      <c r="D11" s="3" t="s">
        <v>581</v>
      </c>
      <c r="E11" s="2" t="s">
        <v>582</v>
      </c>
      <c r="F11" s="59" t="s">
        <v>172</v>
      </c>
    </row>
    <row r="12" spans="1:6">
      <c r="A12" s="12"/>
      <c r="B12" s="12"/>
      <c r="C12" s="12"/>
      <c r="D12" s="12"/>
      <c r="E12" s="12"/>
      <c r="F12" s="12"/>
    </row>
    <row r="13" spans="1:6" ht="72">
      <c r="A13" s="12"/>
      <c r="B13" s="81" t="s">
        <v>173</v>
      </c>
      <c r="C13" s="17" t="s">
        <v>168</v>
      </c>
      <c r="D13" s="3" t="s">
        <v>583</v>
      </c>
      <c r="E13" s="2" t="s">
        <v>584</v>
      </c>
      <c r="F13" s="59" t="s">
        <v>585</v>
      </c>
    </row>
    <row r="14" spans="1:6" ht="60">
      <c r="A14" s="12"/>
      <c r="B14" s="81"/>
      <c r="C14" s="17" t="s">
        <v>174</v>
      </c>
      <c r="D14" s="3" t="s">
        <v>586</v>
      </c>
      <c r="E14" s="2" t="s">
        <v>587</v>
      </c>
      <c r="F14" s="59" t="s">
        <v>585</v>
      </c>
    </row>
    <row r="15" spans="1:6" ht="72">
      <c r="A15" s="12"/>
      <c r="B15" s="81"/>
      <c r="C15" s="17" t="s">
        <v>169</v>
      </c>
      <c r="D15" s="3" t="s">
        <v>588</v>
      </c>
      <c r="E15" s="2" t="s">
        <v>589</v>
      </c>
      <c r="F15" s="59" t="s">
        <v>590</v>
      </c>
    </row>
    <row r="16" spans="1:6" ht="48">
      <c r="A16" s="12"/>
      <c r="B16" s="81"/>
      <c r="C16" s="17" t="s">
        <v>175</v>
      </c>
      <c r="D16" s="3" t="s">
        <v>176</v>
      </c>
      <c r="E16" s="2" t="s">
        <v>591</v>
      </c>
      <c r="F16" s="59" t="s">
        <v>592</v>
      </c>
    </row>
    <row r="17" spans="1:6">
      <c r="A17" s="12"/>
      <c r="B17" s="12"/>
      <c r="C17" s="12"/>
      <c r="D17" s="12"/>
      <c r="E17" s="12"/>
      <c r="F17" s="12"/>
    </row>
    <row r="18" spans="1:6" ht="72">
      <c r="A18" s="12"/>
      <c r="B18" s="81" t="s">
        <v>177</v>
      </c>
      <c r="C18" s="17" t="s">
        <v>178</v>
      </c>
      <c r="D18" s="3" t="s">
        <v>593</v>
      </c>
      <c r="E18" s="2" t="s">
        <v>594</v>
      </c>
      <c r="F18" s="59" t="s">
        <v>595</v>
      </c>
    </row>
    <row r="19" spans="1:6" ht="48">
      <c r="A19" s="12"/>
      <c r="B19" s="81"/>
      <c r="C19" s="17" t="s">
        <v>179</v>
      </c>
      <c r="D19" s="3" t="s">
        <v>596</v>
      </c>
      <c r="E19" s="2" t="s">
        <v>597</v>
      </c>
      <c r="F19" s="59" t="s">
        <v>180</v>
      </c>
    </row>
    <row r="20" spans="1:6" ht="84">
      <c r="A20" s="12"/>
      <c r="B20" s="81"/>
      <c r="C20" s="17" t="s">
        <v>181</v>
      </c>
      <c r="D20" s="3" t="s">
        <v>598</v>
      </c>
      <c r="E20" s="2" t="s">
        <v>599</v>
      </c>
      <c r="F20" s="59" t="s">
        <v>600</v>
      </c>
    </row>
    <row r="21" spans="1:6" ht="60">
      <c r="A21" s="12"/>
      <c r="B21" s="81"/>
      <c r="C21" s="17" t="s">
        <v>182</v>
      </c>
      <c r="D21" s="3" t="s">
        <v>601</v>
      </c>
      <c r="E21" s="2" t="s">
        <v>602</v>
      </c>
      <c r="F21" s="59" t="s">
        <v>180</v>
      </c>
    </row>
    <row r="22" spans="1:6">
      <c r="A22" s="12"/>
      <c r="B22" s="12"/>
      <c r="C22" s="12"/>
      <c r="D22" s="12"/>
      <c r="E22" s="12"/>
      <c r="F22" s="12"/>
    </row>
    <row r="23" spans="1:6" ht="63.75" customHeight="1">
      <c r="A23" s="12"/>
      <c r="B23" s="11" t="s">
        <v>183</v>
      </c>
      <c r="C23" s="65" t="s">
        <v>603</v>
      </c>
      <c r="D23" s="65"/>
      <c r="E23" s="65"/>
      <c r="F23" s="65"/>
    </row>
  </sheetData>
  <mergeCells count="7">
    <mergeCell ref="B18:B21"/>
    <mergeCell ref="C23:F23"/>
    <mergeCell ref="A1:F1"/>
    <mergeCell ref="A2:F2"/>
    <mergeCell ref="B5:F5"/>
    <mergeCell ref="B8:B11"/>
    <mergeCell ref="B13:B16"/>
  </mergeCells>
  <phoneticPr fontId="13" type="noConversion"/>
  <printOptions horizontalCentered="1"/>
  <pageMargins left="0.75" right="0.75" top="1" bottom="1" header="0.511811023622047" footer="0.511811023622047"/>
  <pageSetup paperSize="9" scale="99" fitToHeight="0"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29"/>
  <sheetViews>
    <sheetView showGridLines="0" topLeftCell="A15" zoomScaleNormal="100" workbookViewId="0">
      <selection sqref="A1:F1"/>
    </sheetView>
  </sheetViews>
  <sheetFormatPr defaultColWidth="8.7109375" defaultRowHeight="15"/>
  <cols>
    <col min="1" max="1" width="2.28515625" customWidth="1"/>
    <col min="2" max="2" width="15.28515625" customWidth="1"/>
    <col min="3" max="5" width="32.42578125" customWidth="1"/>
    <col min="6" max="6" width="20" customWidth="1"/>
  </cols>
  <sheetData>
    <row r="1" spans="1:6" ht="26.25">
      <c r="A1" s="66" t="s">
        <v>604</v>
      </c>
      <c r="B1" s="66"/>
      <c r="C1" s="66"/>
      <c r="D1" s="66"/>
      <c r="E1" s="66"/>
      <c r="F1" s="66"/>
    </row>
    <row r="2" spans="1:6">
      <c r="A2" s="67" t="s">
        <v>605</v>
      </c>
      <c r="B2" s="67"/>
      <c r="C2" s="67"/>
      <c r="D2" s="67"/>
      <c r="E2" s="67"/>
      <c r="F2" s="67"/>
    </row>
    <row r="3" spans="1:6">
      <c r="A3" s="12"/>
      <c r="B3" s="12"/>
      <c r="C3" s="12"/>
      <c r="D3" s="12"/>
      <c r="E3" s="12"/>
      <c r="F3" s="12"/>
    </row>
    <row r="4" spans="1:6">
      <c r="A4" s="7"/>
      <c r="B4" s="7" t="s">
        <v>184</v>
      </c>
      <c r="C4" s="7" t="s">
        <v>606</v>
      </c>
      <c r="D4" s="7" t="s">
        <v>607</v>
      </c>
      <c r="E4" s="7" t="s">
        <v>185</v>
      </c>
      <c r="F4" s="7" t="s">
        <v>186</v>
      </c>
    </row>
    <row r="5" spans="1:6" ht="72">
      <c r="A5" s="12"/>
      <c r="B5" s="30" t="s">
        <v>55</v>
      </c>
      <c r="C5" s="3" t="s">
        <v>608</v>
      </c>
      <c r="D5" s="3" t="s">
        <v>609</v>
      </c>
      <c r="E5" s="2" t="s">
        <v>610</v>
      </c>
      <c r="F5" s="3" t="s">
        <v>611</v>
      </c>
    </row>
    <row r="6" spans="1:6" ht="84">
      <c r="A6" s="12"/>
      <c r="B6" s="30" t="s">
        <v>612</v>
      </c>
      <c r="C6" s="3" t="s">
        <v>613</v>
      </c>
      <c r="D6" s="3" t="s">
        <v>614</v>
      </c>
      <c r="E6" s="2" t="s">
        <v>615</v>
      </c>
      <c r="F6" s="3" t="s">
        <v>616</v>
      </c>
    </row>
    <row r="7" spans="1:6" ht="96">
      <c r="A7" s="12"/>
      <c r="B7" s="30" t="s">
        <v>617</v>
      </c>
      <c r="C7" s="3" t="s">
        <v>618</v>
      </c>
      <c r="D7" s="3" t="s">
        <v>619</v>
      </c>
      <c r="E7" s="2" t="s">
        <v>620</v>
      </c>
      <c r="F7" s="3" t="s">
        <v>621</v>
      </c>
    </row>
    <row r="8" spans="1:6" ht="60">
      <c r="A8" s="12"/>
      <c r="B8" s="30" t="s">
        <v>622</v>
      </c>
      <c r="C8" s="3" t="s">
        <v>623</v>
      </c>
      <c r="D8" s="3" t="s">
        <v>624</v>
      </c>
      <c r="E8" s="2" t="s">
        <v>625</v>
      </c>
      <c r="F8" s="3" t="s">
        <v>626</v>
      </c>
    </row>
    <row r="9" spans="1:6" ht="60">
      <c r="A9" s="12"/>
      <c r="B9" s="30" t="s">
        <v>90</v>
      </c>
      <c r="C9" s="3" t="s">
        <v>627</v>
      </c>
      <c r="D9" s="3" t="s">
        <v>628</v>
      </c>
      <c r="E9" s="2" t="s">
        <v>629</v>
      </c>
      <c r="F9" s="3" t="s">
        <v>630</v>
      </c>
    </row>
    <row r="10" spans="1:6" ht="96">
      <c r="A10" s="12"/>
      <c r="B10" s="30" t="s">
        <v>96</v>
      </c>
      <c r="C10" s="3" t="s">
        <v>631</v>
      </c>
      <c r="D10" s="3" t="s">
        <v>632</v>
      </c>
      <c r="E10" s="2" t="s">
        <v>633</v>
      </c>
      <c r="F10" s="3" t="s">
        <v>634</v>
      </c>
    </row>
    <row r="11" spans="1:6" ht="84">
      <c r="A11" s="12"/>
      <c r="B11" s="30" t="s">
        <v>635</v>
      </c>
      <c r="C11" s="3" t="s">
        <v>187</v>
      </c>
      <c r="D11" s="3" t="s">
        <v>636</v>
      </c>
      <c r="E11" s="2" t="s">
        <v>637</v>
      </c>
      <c r="F11" s="3" t="s">
        <v>638</v>
      </c>
    </row>
    <row r="12" spans="1:6" ht="60">
      <c r="A12" s="12"/>
      <c r="B12" s="30" t="s">
        <v>639</v>
      </c>
      <c r="C12" s="3" t="s">
        <v>640</v>
      </c>
      <c r="D12" s="3" t="s">
        <v>641</v>
      </c>
      <c r="E12" s="2" t="s">
        <v>642</v>
      </c>
      <c r="F12" s="3" t="s">
        <v>643</v>
      </c>
    </row>
    <row r="13" spans="1:6">
      <c r="A13" s="12"/>
      <c r="B13" s="12"/>
      <c r="C13" s="12"/>
      <c r="D13" s="12"/>
      <c r="E13" s="12"/>
      <c r="F13" s="12"/>
    </row>
    <row r="14" spans="1:6">
      <c r="A14" s="12"/>
      <c r="B14" s="13" t="s">
        <v>186</v>
      </c>
      <c r="C14" s="12"/>
      <c r="D14" s="12"/>
      <c r="E14" s="12"/>
      <c r="F14" s="12"/>
    </row>
    <row r="15" spans="1:6">
      <c r="A15" s="7"/>
      <c r="B15" s="7" t="s">
        <v>12</v>
      </c>
      <c r="C15" s="7" t="s">
        <v>188</v>
      </c>
      <c r="D15" s="7" t="s">
        <v>189</v>
      </c>
      <c r="E15" s="7"/>
      <c r="F15" s="7"/>
    </row>
    <row r="16" spans="1:6" ht="36">
      <c r="A16" s="12"/>
      <c r="B16" s="2" t="s">
        <v>190</v>
      </c>
      <c r="C16" s="3" t="s">
        <v>644</v>
      </c>
      <c r="D16" s="65" t="s">
        <v>191</v>
      </c>
      <c r="E16" s="65"/>
      <c r="F16" s="65"/>
    </row>
    <row r="17" spans="1:6" ht="24">
      <c r="A17" s="12"/>
      <c r="B17" s="2" t="s">
        <v>192</v>
      </c>
      <c r="C17" s="3" t="s">
        <v>645</v>
      </c>
      <c r="D17" s="65" t="s">
        <v>191</v>
      </c>
      <c r="E17" s="65"/>
      <c r="F17" s="65"/>
    </row>
    <row r="18" spans="1:6">
      <c r="A18" s="12"/>
      <c r="B18" s="2" t="s">
        <v>193</v>
      </c>
      <c r="C18" s="3" t="s">
        <v>646</v>
      </c>
      <c r="D18" s="65" t="s">
        <v>191</v>
      </c>
      <c r="E18" s="65"/>
      <c r="F18" s="65"/>
    </row>
    <row r="19" spans="1:6" ht="24">
      <c r="A19" s="12"/>
      <c r="B19" s="2" t="s">
        <v>647</v>
      </c>
      <c r="C19" s="3" t="s">
        <v>648</v>
      </c>
      <c r="D19" s="83" t="s">
        <v>194</v>
      </c>
      <c r="E19" s="83"/>
      <c r="F19" s="83"/>
    </row>
    <row r="20" spans="1:6" ht="24">
      <c r="A20" s="12"/>
      <c r="B20" s="2" t="s">
        <v>195</v>
      </c>
      <c r="C20" s="3" t="s">
        <v>649</v>
      </c>
      <c r="D20" s="83" t="s">
        <v>196</v>
      </c>
      <c r="E20" s="83"/>
      <c r="F20" s="83"/>
    </row>
    <row r="21" spans="1:6" ht="24">
      <c r="A21" s="12"/>
      <c r="B21" s="2" t="s">
        <v>197</v>
      </c>
      <c r="C21" s="3" t="s">
        <v>650</v>
      </c>
      <c r="D21" s="83" t="s">
        <v>198</v>
      </c>
      <c r="E21" s="83"/>
      <c r="F21" s="83"/>
    </row>
    <row r="22" spans="1:6" ht="24">
      <c r="A22" s="12"/>
      <c r="B22" s="2" t="s">
        <v>651</v>
      </c>
      <c r="C22" s="3" t="s">
        <v>652</v>
      </c>
      <c r="D22" s="83" t="s">
        <v>199</v>
      </c>
      <c r="E22" s="83"/>
      <c r="F22" s="83"/>
    </row>
    <row r="23" spans="1:6" ht="24">
      <c r="A23" s="12"/>
      <c r="B23" s="2" t="s">
        <v>653</v>
      </c>
      <c r="C23" s="3" t="s">
        <v>654</v>
      </c>
      <c r="D23" s="83" t="s">
        <v>200</v>
      </c>
      <c r="E23" s="83"/>
      <c r="F23" s="83"/>
    </row>
    <row r="24" spans="1:6" ht="24">
      <c r="A24" s="12"/>
      <c r="B24" s="2" t="s">
        <v>201</v>
      </c>
      <c r="C24" s="3" t="s">
        <v>655</v>
      </c>
      <c r="D24" s="83" t="s">
        <v>202</v>
      </c>
      <c r="E24" s="83"/>
      <c r="F24" s="83"/>
    </row>
    <row r="25" spans="1:6" ht="36">
      <c r="A25" s="12"/>
      <c r="B25" s="2" t="s">
        <v>656</v>
      </c>
      <c r="C25" s="3" t="s">
        <v>657</v>
      </c>
      <c r="D25" s="83" t="s">
        <v>203</v>
      </c>
      <c r="E25" s="83"/>
      <c r="F25" s="83"/>
    </row>
    <row r="26" spans="1:6" ht="36">
      <c r="A26" s="12"/>
      <c r="B26" s="2" t="s">
        <v>204</v>
      </c>
      <c r="C26" s="3" t="s">
        <v>658</v>
      </c>
      <c r="D26" s="83" t="s">
        <v>205</v>
      </c>
      <c r="E26" s="83"/>
      <c r="F26" s="83"/>
    </row>
    <row r="27" spans="1:6" ht="24">
      <c r="A27" s="12"/>
      <c r="B27" s="2" t="s">
        <v>206</v>
      </c>
      <c r="C27" s="3" t="s">
        <v>659</v>
      </c>
      <c r="D27" s="83" t="s">
        <v>207</v>
      </c>
      <c r="E27" s="83"/>
      <c r="F27" s="83"/>
    </row>
    <row r="28" spans="1:6" ht="24">
      <c r="A28" s="12"/>
      <c r="B28" s="2" t="s">
        <v>208</v>
      </c>
      <c r="C28" s="3" t="s">
        <v>660</v>
      </c>
      <c r="D28" s="83" t="s">
        <v>209</v>
      </c>
      <c r="E28" s="83"/>
      <c r="F28" s="83"/>
    </row>
    <row r="29" spans="1:6" ht="36">
      <c r="A29" s="12"/>
      <c r="B29" s="2" t="s">
        <v>210</v>
      </c>
      <c r="C29" s="3" t="s">
        <v>661</v>
      </c>
      <c r="D29" s="83" t="s">
        <v>211</v>
      </c>
      <c r="E29" s="83"/>
      <c r="F29" s="83"/>
    </row>
  </sheetData>
  <mergeCells count="16">
    <mergeCell ref="A1:F1"/>
    <mergeCell ref="A2:F2"/>
    <mergeCell ref="D16:F16"/>
    <mergeCell ref="D17:F17"/>
    <mergeCell ref="D18:F18"/>
    <mergeCell ref="D19:F19"/>
    <mergeCell ref="D20:F20"/>
    <mergeCell ref="D21:F21"/>
    <mergeCell ref="D22:F22"/>
    <mergeCell ref="D23:F23"/>
    <mergeCell ref="D29:F29"/>
    <mergeCell ref="D24:F24"/>
    <mergeCell ref="D25:F25"/>
    <mergeCell ref="D26:F26"/>
    <mergeCell ref="D27:F27"/>
    <mergeCell ref="D28:F28"/>
  </mergeCells>
  <phoneticPr fontId="13" type="noConversion"/>
  <hyperlinks>
    <hyperlink ref="D19" r:id="rId1" xr:uid="{00000000-0004-0000-0700-000000000000}"/>
    <hyperlink ref="D20" r:id="rId2" xr:uid="{00000000-0004-0000-0700-000001000000}"/>
    <hyperlink ref="D21" r:id="rId3" xr:uid="{00000000-0004-0000-0700-000002000000}"/>
    <hyperlink ref="D22" r:id="rId4" xr:uid="{00000000-0004-0000-0700-000003000000}"/>
    <hyperlink ref="D23" r:id="rId5" xr:uid="{00000000-0004-0000-0700-000004000000}"/>
    <hyperlink ref="D24" r:id="rId6" xr:uid="{00000000-0004-0000-0700-000005000000}"/>
    <hyperlink ref="D25" r:id="rId7" xr:uid="{00000000-0004-0000-0700-000006000000}"/>
    <hyperlink ref="D26" r:id="rId8" xr:uid="{00000000-0004-0000-0700-000007000000}"/>
    <hyperlink ref="D27" r:id="rId9" xr:uid="{00000000-0004-0000-0700-000008000000}"/>
    <hyperlink ref="D28" r:id="rId10" xr:uid="{00000000-0004-0000-0700-000009000000}"/>
    <hyperlink ref="D29" r:id="rId11" xr:uid="{00000000-0004-0000-0700-00000A000000}"/>
  </hyperlinks>
  <printOptions horizontalCentered="1"/>
  <pageMargins left="0.75" right="0.75" top="1" bottom="1" header="0.511811023622047" footer="0.511811023622047"/>
  <pageSetup paperSize="9" scale="98" fitToHeight="0" orientation="landscape" horizontalDpi="300" verticalDpi="300" r:id="rId1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19"/>
  <sheetViews>
    <sheetView showGridLines="0" zoomScaleNormal="100" workbookViewId="0">
      <selection activeCell="D5" sqref="D5"/>
    </sheetView>
  </sheetViews>
  <sheetFormatPr defaultColWidth="8.7109375" defaultRowHeight="15"/>
  <cols>
    <col min="1" max="1" width="2.28515625" customWidth="1"/>
    <col min="2" max="2" width="9.5703125" customWidth="1"/>
    <col min="3" max="3" width="23.42578125" customWidth="1"/>
    <col min="4" max="4" width="43.85546875" customWidth="1"/>
    <col min="5" max="5" width="17.140625" customWidth="1"/>
    <col min="6" max="6" width="14.28515625" customWidth="1"/>
  </cols>
  <sheetData>
    <row r="1" spans="1:6" ht="26.25">
      <c r="A1" s="66" t="s">
        <v>212</v>
      </c>
      <c r="B1" s="66"/>
      <c r="C1" s="66"/>
      <c r="D1" s="66"/>
      <c r="E1" s="66"/>
      <c r="F1" s="66"/>
    </row>
    <row r="2" spans="1:6">
      <c r="A2" s="67" t="s">
        <v>662</v>
      </c>
      <c r="B2" s="67"/>
      <c r="C2" s="67"/>
      <c r="D2" s="67"/>
      <c r="E2" s="67"/>
      <c r="F2" s="67"/>
    </row>
    <row r="3" spans="1:6">
      <c r="A3" s="12"/>
      <c r="B3" s="12"/>
      <c r="C3" s="12"/>
      <c r="D3" s="12"/>
      <c r="E3" s="12"/>
      <c r="F3" s="12"/>
    </row>
    <row r="4" spans="1:6">
      <c r="A4" s="7"/>
      <c r="B4" s="7" t="s">
        <v>12</v>
      </c>
      <c r="C4" s="7" t="s">
        <v>165</v>
      </c>
      <c r="D4" s="7" t="s">
        <v>213</v>
      </c>
      <c r="E4" s="7" t="s">
        <v>214</v>
      </c>
      <c r="F4" s="7" t="s">
        <v>215</v>
      </c>
    </row>
    <row r="5" spans="1:6" ht="48">
      <c r="A5" s="12"/>
      <c r="B5" s="30" t="s">
        <v>216</v>
      </c>
      <c r="C5" s="2" t="s">
        <v>663</v>
      </c>
      <c r="D5" s="3" t="s">
        <v>664</v>
      </c>
      <c r="E5" s="1" t="s">
        <v>217</v>
      </c>
      <c r="F5" s="1" t="s">
        <v>218</v>
      </c>
    </row>
    <row r="6" spans="1:6" ht="48">
      <c r="A6" s="12"/>
      <c r="B6" s="30" t="s">
        <v>216</v>
      </c>
      <c r="C6" s="2" t="s">
        <v>219</v>
      </c>
      <c r="D6" s="3" t="s">
        <v>665</v>
      </c>
      <c r="E6" s="1" t="s">
        <v>220</v>
      </c>
      <c r="F6" s="1" t="s">
        <v>218</v>
      </c>
    </row>
    <row r="7" spans="1:6" ht="48">
      <c r="A7" s="12"/>
      <c r="B7" s="60" t="s">
        <v>221</v>
      </c>
      <c r="C7" s="63" t="s">
        <v>666</v>
      </c>
      <c r="D7" s="64" t="s">
        <v>667</v>
      </c>
      <c r="E7" s="61" t="s">
        <v>668</v>
      </c>
      <c r="F7" s="62" t="s">
        <v>222</v>
      </c>
    </row>
    <row r="8" spans="1:6" ht="48">
      <c r="A8" s="12"/>
      <c r="B8" s="30" t="s">
        <v>223</v>
      </c>
      <c r="C8" s="2" t="s">
        <v>669</v>
      </c>
      <c r="D8" s="3" t="s">
        <v>670</v>
      </c>
      <c r="E8" s="1" t="s">
        <v>224</v>
      </c>
      <c r="F8" s="1" t="s">
        <v>671</v>
      </c>
    </row>
    <row r="9" spans="1:6" ht="48">
      <c r="A9" s="12"/>
      <c r="B9" s="30" t="s">
        <v>152</v>
      </c>
      <c r="C9" s="2" t="s">
        <v>225</v>
      </c>
      <c r="D9" s="3" t="s">
        <v>672</v>
      </c>
      <c r="E9" s="1" t="s">
        <v>224</v>
      </c>
      <c r="F9" s="1" t="s">
        <v>226</v>
      </c>
    </row>
    <row r="10" spans="1:6" ht="36">
      <c r="A10" s="12"/>
      <c r="B10" s="30" t="s">
        <v>227</v>
      </c>
      <c r="C10" s="2" t="s">
        <v>228</v>
      </c>
      <c r="D10" s="3" t="s">
        <v>673</v>
      </c>
      <c r="E10" s="1" t="s">
        <v>229</v>
      </c>
      <c r="F10" s="1" t="s">
        <v>218</v>
      </c>
    </row>
    <row r="11" spans="1:6" ht="36">
      <c r="A11" s="12"/>
      <c r="B11" s="30" t="s">
        <v>227</v>
      </c>
      <c r="C11" s="2" t="s">
        <v>674</v>
      </c>
      <c r="D11" s="3" t="s">
        <v>675</v>
      </c>
      <c r="E11" s="1" t="s">
        <v>229</v>
      </c>
      <c r="F11" s="1" t="s">
        <v>218</v>
      </c>
    </row>
    <row r="12" spans="1:6" ht="48">
      <c r="A12" s="12"/>
      <c r="B12" s="30" t="s">
        <v>230</v>
      </c>
      <c r="C12" s="2" t="s">
        <v>676</v>
      </c>
      <c r="D12" s="3" t="s">
        <v>677</v>
      </c>
      <c r="E12" s="1" t="s">
        <v>217</v>
      </c>
      <c r="F12" s="1" t="s">
        <v>231</v>
      </c>
    </row>
    <row r="13" spans="1:6" ht="84">
      <c r="A13" s="12"/>
      <c r="B13" s="30" t="s">
        <v>232</v>
      </c>
      <c r="C13" s="2" t="s">
        <v>233</v>
      </c>
      <c r="D13" s="3" t="s">
        <v>678</v>
      </c>
      <c r="E13" s="1" t="s">
        <v>229</v>
      </c>
      <c r="F13" s="1" t="s">
        <v>231</v>
      </c>
    </row>
    <row r="14" spans="1:6" ht="60">
      <c r="A14" s="12"/>
      <c r="B14" s="30" t="s">
        <v>234</v>
      </c>
      <c r="C14" s="2" t="s">
        <v>235</v>
      </c>
      <c r="D14" s="3" t="s">
        <v>679</v>
      </c>
      <c r="E14" s="1" t="s">
        <v>236</v>
      </c>
      <c r="F14" s="1" t="s">
        <v>231</v>
      </c>
    </row>
    <row r="15" spans="1:6">
      <c r="A15" s="12"/>
      <c r="B15" s="12"/>
      <c r="C15" s="12"/>
      <c r="D15" s="12"/>
      <c r="E15" s="12"/>
      <c r="F15" s="12"/>
    </row>
    <row r="16" spans="1:6" ht="24">
      <c r="A16" s="12"/>
      <c r="B16" s="12"/>
      <c r="C16" s="13" t="s">
        <v>680</v>
      </c>
      <c r="D16" s="12"/>
      <c r="E16" s="12"/>
      <c r="F16" s="12"/>
    </row>
    <row r="17" spans="1:6">
      <c r="A17" s="7"/>
      <c r="B17" s="7" t="s">
        <v>237</v>
      </c>
      <c r="C17" s="7" t="s">
        <v>681</v>
      </c>
      <c r="D17" s="7" t="s">
        <v>40</v>
      </c>
      <c r="E17" s="7" t="s">
        <v>145</v>
      </c>
      <c r="F17" s="7" t="s">
        <v>112</v>
      </c>
    </row>
    <row r="18" spans="1:6" ht="24">
      <c r="A18" s="12"/>
      <c r="B18" s="1" t="s">
        <v>682</v>
      </c>
      <c r="C18" s="3" t="s">
        <v>683</v>
      </c>
      <c r="D18" s="3" t="s">
        <v>684</v>
      </c>
      <c r="E18" s="1" t="s">
        <v>690</v>
      </c>
      <c r="F18" s="1" t="s">
        <v>685</v>
      </c>
    </row>
    <row r="19" spans="1:6" ht="24">
      <c r="A19" s="12"/>
      <c r="B19" s="1" t="s">
        <v>682</v>
      </c>
      <c r="C19" s="3" t="s">
        <v>686</v>
      </c>
      <c r="D19" s="3" t="s">
        <v>238</v>
      </c>
      <c r="E19" s="1" t="s">
        <v>690</v>
      </c>
      <c r="F19" s="1" t="s">
        <v>687</v>
      </c>
    </row>
  </sheetData>
  <mergeCells count="2">
    <mergeCell ref="A1:F1"/>
    <mergeCell ref="A2:F2"/>
  </mergeCells>
  <phoneticPr fontId="13" type="noConversion"/>
  <printOptions horizontalCentered="1"/>
  <pageMargins left="0.75" right="0.75" top="1" bottom="1" header="0.511811023622047" footer="0.511811023622047"/>
  <pageSetup paperSize="9" scale="62"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워크시트</vt:lpstr>
      </vt:variant>
      <vt:variant>
        <vt:i4>9</vt:i4>
      </vt:variant>
      <vt:variant>
        <vt:lpstr>이름 지정된 범위</vt:lpstr>
      </vt:variant>
      <vt:variant>
        <vt:i4>17</vt:i4>
      </vt:variant>
    </vt:vector>
  </HeadingPairs>
  <TitlesOfParts>
    <vt:vector size="26" baseType="lpstr">
      <vt:lpstr>1.표지·요약</vt:lpstr>
      <vt:lpstr>2.계약현황</vt:lpstr>
      <vt:lpstr>3.보장분석(메인)</vt:lpstr>
      <vt:lpstr>4.담보마스터</vt:lpstr>
      <vt:lpstr>5.담보원장</vt:lpstr>
      <vt:lpstr>6.실손분석</vt:lpstr>
      <vt:lpstr>7.3대핵심트렌드</vt:lpstr>
      <vt:lpstr>8.최근담보유형</vt:lpstr>
      <vt:lpstr>9.특이사항</vt:lpstr>
      <vt:lpstr>'1.표지·요약'!Print_Area</vt:lpstr>
      <vt:lpstr>'2.계약현황'!Print_Area</vt:lpstr>
      <vt:lpstr>'3.보장분석(메인)'!Print_Area</vt:lpstr>
      <vt:lpstr>'4.담보마스터'!Print_Area</vt:lpstr>
      <vt:lpstr>'5.담보원장'!Print_Area</vt:lpstr>
      <vt:lpstr>'6.실손분석'!Print_Area</vt:lpstr>
      <vt:lpstr>'7.3대핵심트렌드'!Print_Area</vt:lpstr>
      <vt:lpstr>'8.최근담보유형'!Print_Area</vt:lpstr>
      <vt:lpstr>'9.특이사항'!Print_Area</vt:lpstr>
      <vt:lpstr>'2.계약현황'!Print_Titles</vt:lpstr>
      <vt:lpstr>'3.보장분석(메인)'!Print_Titles</vt:lpstr>
      <vt:lpstr>'4.담보마스터'!Print_Titles</vt:lpstr>
      <vt:lpstr>'5.담보원장'!Print_Titles</vt:lpstr>
      <vt:lpstr>'6.실손분석'!Print_Titles</vt:lpstr>
      <vt:lpstr>'7.3대핵심트렌드'!Print_Titles</vt:lpstr>
      <vt:lpstr>'8.최근담보유형'!Print_Titles</vt:lpstr>
      <vt:lpstr>'9.특이사항'!Print_Titles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진열 조</cp:lastModifiedBy>
  <cp:revision>0</cp:revision>
  <dcterms:created xsi:type="dcterms:W3CDTF">2026-08-14T01:50:32Z</dcterms:created>
  <dcterms:modified xsi:type="dcterms:W3CDTF">2026-08-14T09:12:38Z</dcterms:modified>
  <dc:language>en-US</dc:language>
</cp:coreProperties>
</file>